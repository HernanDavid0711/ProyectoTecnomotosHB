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cnomotosHB\Desktop\base de datos\"/>
    </mc:Choice>
  </mc:AlternateContent>
  <bookViews>
    <workbookView xWindow="0" yWindow="0" windowWidth="24000" windowHeight="9345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47" i="1" l="1"/>
  <c r="J2072" i="1" l="1"/>
  <c r="J2441" i="1"/>
  <c r="J2744" i="1"/>
  <c r="J2801" i="1"/>
  <c r="J2785" i="1"/>
  <c r="J2759" i="1"/>
  <c r="J2736" i="1"/>
  <c r="J2724" i="1"/>
  <c r="J2715" i="1"/>
  <c r="J2708" i="1"/>
  <c r="J2701" i="1"/>
  <c r="J2695" i="1"/>
  <c r="J2688" i="1"/>
  <c r="J2676" i="1"/>
  <c r="J2669" i="1"/>
  <c r="J2663" i="1"/>
  <c r="J2649" i="1"/>
  <c r="J2639" i="1"/>
  <c r="J2626" i="1"/>
  <c r="J2619" i="1" l="1"/>
  <c r="J2606" i="1"/>
  <c r="J2599" i="1"/>
  <c r="J2593" i="1"/>
  <c r="J2575" i="1"/>
  <c r="J2565" i="1"/>
  <c r="J2557" i="1"/>
  <c r="J2545" i="1"/>
  <c r="J2537" i="1"/>
  <c r="J2530" i="1"/>
  <c r="J2520" i="1"/>
  <c r="J2511" i="1"/>
  <c r="J2500" i="1"/>
  <c r="J2492" i="1"/>
  <c r="J2485" i="1"/>
  <c r="J2479" i="1"/>
  <c r="J2464" i="1"/>
  <c r="J2449" i="1"/>
  <c r="J2434" i="1"/>
  <c r="J2419" i="1"/>
  <c r="J2391" i="1"/>
  <c r="J2380" i="1"/>
  <c r="J2333" i="1"/>
  <c r="J2365" i="1"/>
  <c r="J2357" i="1"/>
  <c r="J2320" i="1"/>
  <c r="J2312" i="1"/>
  <c r="J2305" i="1"/>
  <c r="J2291" i="1"/>
  <c r="J2274" i="1"/>
  <c r="J2268" i="1"/>
  <c r="J2246" i="1"/>
  <c r="J2240" i="1"/>
  <c r="J2230" i="1"/>
  <c r="J2222" i="1"/>
  <c r="J2214" i="1"/>
  <c r="J2413" i="1"/>
  <c r="J2406" i="1"/>
  <c r="J2399" i="1"/>
  <c r="J2201" i="1" l="1"/>
  <c r="J2189" i="1"/>
  <c r="J2180" i="1"/>
  <c r="J2158" i="1"/>
  <c r="J2152" i="1"/>
  <c r="J2116" i="1"/>
  <c r="J2103" i="1"/>
  <c r="J2097" i="1"/>
  <c r="J2082" i="1"/>
  <c r="J2065" i="1" l="1"/>
  <c r="J2056" i="1"/>
  <c r="J2011" i="1"/>
  <c r="J2003" i="1"/>
  <c r="J1994" i="1"/>
  <c r="J2019" i="1"/>
  <c r="J1986" i="1"/>
  <c r="J2047" i="1"/>
  <c r="J1975" i="1"/>
  <c r="J1966" i="1"/>
  <c r="J1958" i="1"/>
  <c r="J1948" i="1"/>
  <c r="J1938" i="1"/>
  <c r="J1925" i="1" l="1"/>
  <c r="J1898" i="1"/>
  <c r="J1880" i="1"/>
  <c r="J1867" i="1" l="1"/>
  <c r="J1855" i="1"/>
  <c r="J1843" i="1"/>
  <c r="J1833" i="1"/>
  <c r="J1827" i="1"/>
  <c r="J1822" i="1"/>
  <c r="J1816" i="1"/>
  <c r="J1806" i="1"/>
  <c r="J1793" i="1"/>
  <c r="J1785" i="1"/>
  <c r="J1778" i="1"/>
  <c r="J1767" i="1"/>
  <c r="J1759" i="1"/>
  <c r="J1751" i="1"/>
  <c r="J1744" i="1"/>
  <c r="J1737" i="1"/>
  <c r="J2038" i="1"/>
  <c r="J1624" i="1" l="1"/>
  <c r="J1728" i="1"/>
  <c r="J1721" i="1"/>
  <c r="J1714" i="1"/>
  <c r="J1683" i="1"/>
  <c r="J1672" i="1"/>
  <c r="J1662" i="1"/>
  <c r="J1640" i="1"/>
  <c r="J1603" i="1"/>
  <c r="J1596" i="1"/>
  <c r="J1632" i="1"/>
  <c r="J1589" i="1"/>
  <c r="J1573" i="1"/>
  <c r="J1563" i="1"/>
  <c r="J1547" i="1" l="1"/>
  <c r="J1540" i="1"/>
  <c r="J1512" i="1"/>
  <c r="J1505" i="1"/>
  <c r="J1485" i="1"/>
  <c r="J1554" i="1"/>
  <c r="J1423" i="1" l="1"/>
  <c r="J1417" i="1"/>
  <c r="J1470" i="1"/>
  <c r="J1401" i="1"/>
  <c r="J1461" i="1"/>
  <c r="J1441" i="1"/>
  <c r="J1381" i="1" l="1"/>
  <c r="J1389" i="1"/>
  <c r="J1369" i="1"/>
  <c r="J1363" i="1"/>
  <c r="J1334" i="1"/>
  <c r="J1326" i="1"/>
  <c r="J1317" i="1"/>
  <c r="J1276" i="1"/>
  <c r="J1266" i="1"/>
  <c r="J1259" i="1"/>
  <c r="J1300" i="1"/>
  <c r="J1292" i="1"/>
  <c r="J1245" i="1"/>
  <c r="J1236" i="1"/>
  <c r="J1230" i="1"/>
  <c r="J1221" i="1"/>
  <c r="J1357" i="1"/>
  <c r="J1201" i="1"/>
  <c r="J1194" i="1" l="1"/>
  <c r="J1173" i="1"/>
  <c r="J1160" i="1"/>
  <c r="J1149" i="1"/>
  <c r="J1142" i="1"/>
  <c r="J1134" i="1"/>
  <c r="J1125" i="1"/>
  <c r="J1084" i="1"/>
  <c r="J1117" i="1"/>
  <c r="J1107" i="1"/>
  <c r="J1099" i="1"/>
  <c r="J1090" i="1"/>
  <c r="J1078" i="1"/>
  <c r="J1068" i="1"/>
  <c r="J1059" i="1"/>
  <c r="J1052" i="1" l="1"/>
  <c r="J1037" i="1"/>
  <c r="J1022" i="1"/>
  <c r="J1016" i="1"/>
  <c r="J1008" i="1"/>
  <c r="J996" i="1"/>
  <c r="J989" i="1"/>
  <c r="J975" i="1"/>
  <c r="J880" i="1" l="1"/>
  <c r="J947" i="1"/>
  <c r="J936" i="1"/>
  <c r="J926" i="1"/>
  <c r="J905" i="1"/>
  <c r="J894" i="1"/>
  <c r="J867" i="1"/>
  <c r="J848" i="1"/>
  <c r="J836" i="1"/>
  <c r="J829" i="1"/>
  <c r="J818" i="1"/>
  <c r="J809" i="1"/>
  <c r="J802" i="1"/>
  <c r="J796" i="1"/>
  <c r="J919" i="1"/>
  <c r="J777" i="1"/>
  <c r="J764" i="1"/>
  <c r="J750" i="1"/>
  <c r="J740" i="1"/>
  <c r="J730" i="1"/>
  <c r="J723" i="1"/>
  <c r="J716" i="1"/>
  <c r="J709" i="1"/>
  <c r="J701" i="1"/>
  <c r="J685" i="1"/>
  <c r="J679" i="1"/>
  <c r="J672" i="1"/>
  <c r="J654" i="1" l="1"/>
  <c r="J644" i="1"/>
  <c r="J633" i="1"/>
  <c r="J624" i="1" l="1"/>
  <c r="J617" i="1"/>
  <c r="J519" i="1"/>
  <c r="J611" i="1"/>
  <c r="J602" i="1"/>
  <c r="J594" i="1"/>
  <c r="J586" i="1"/>
  <c r="J578" i="1"/>
  <c r="J562" i="1"/>
  <c r="J554" i="1"/>
  <c r="J546" i="1"/>
  <c r="J510" i="1"/>
  <c r="J500" i="1"/>
  <c r="J493" i="1"/>
  <c r="J486" i="1"/>
  <c r="J465" i="1"/>
  <c r="J457" i="1"/>
  <c r="D2" i="2" l="1"/>
  <c r="D1" i="2"/>
  <c r="B1" i="2"/>
  <c r="J443" i="1"/>
  <c r="J437" i="1"/>
  <c r="J432" i="1"/>
  <c r="C4" i="2" l="1"/>
  <c r="B2" i="2"/>
  <c r="J421" i="1"/>
  <c r="J534" i="1" l="1"/>
  <c r="J377" i="1"/>
  <c r="J371" i="1"/>
  <c r="J400" i="1"/>
  <c r="J391" i="1" l="1"/>
  <c r="J359" i="1" l="1"/>
  <c r="J346" i="1"/>
  <c r="J339" i="1"/>
  <c r="J331" i="1"/>
  <c r="J324" i="1"/>
  <c r="J314" i="1"/>
  <c r="J304" i="1"/>
  <c r="J297" i="1"/>
  <c r="J274" i="1"/>
  <c r="J291" i="1"/>
  <c r="J411" i="1" l="1"/>
  <c r="J256" i="1" l="1"/>
  <c r="J230" i="1"/>
  <c r="J215" i="1"/>
  <c r="J209" i="1"/>
  <c r="J202" i="1"/>
  <c r="J267" i="1"/>
  <c r="J241" i="1"/>
  <c r="J176" i="1"/>
  <c r="J167" i="1"/>
  <c r="J157" i="1"/>
  <c r="J138" i="1"/>
  <c r="J124" i="1"/>
  <c r="J113" i="1"/>
  <c r="J193" i="1" l="1"/>
  <c r="J97" i="1"/>
  <c r="J87" i="1"/>
  <c r="J72" i="1"/>
  <c r="J61" i="1" l="1"/>
  <c r="J53" i="1"/>
  <c r="J46" i="1"/>
  <c r="J38" i="1"/>
  <c r="J21" i="1" l="1"/>
</calcChain>
</file>

<file path=xl/sharedStrings.xml><?xml version="1.0" encoding="utf-8"?>
<sst xmlns="http://schemas.openxmlformats.org/spreadsheetml/2006/main" count="6965" uniqueCount="1263">
  <si>
    <t xml:space="preserve"> FECHA</t>
  </si>
  <si>
    <t xml:space="preserve">MOTOCICLETA </t>
  </si>
  <si>
    <t>PLACA</t>
  </si>
  <si>
    <t>COLOR</t>
  </si>
  <si>
    <t>MD</t>
  </si>
  <si>
    <t xml:space="preserve"> KM </t>
  </si>
  <si>
    <t>NOMBRE</t>
  </si>
  <si>
    <t>CEL</t>
  </si>
  <si>
    <t>TRABAJO REALIZADO</t>
  </si>
  <si>
    <t>VALOR</t>
  </si>
  <si>
    <t xml:space="preserve"> ABONO </t>
  </si>
  <si>
    <t>R15</t>
  </si>
  <si>
    <t>AZUL</t>
  </si>
  <si>
    <t>DANIEL MORA</t>
  </si>
  <si>
    <t>ARREGLO CIGÜEÑAL</t>
  </si>
  <si>
    <t>EMPAQUETADURA MOTOR</t>
  </si>
  <si>
    <t>REFRIGERANTE</t>
  </si>
  <si>
    <t>ENSAMBLE Y DESENSAMBLE MOTOR</t>
  </si>
  <si>
    <t>ACEITE</t>
  </si>
  <si>
    <t>FILTRO DE ACEITE</t>
  </si>
  <si>
    <t>RELAY</t>
  </si>
  <si>
    <t>LAVADA</t>
  </si>
  <si>
    <t>TOTAL:</t>
  </si>
  <si>
    <t>AFRICA TWIN</t>
  </si>
  <si>
    <t>MTD 44G</t>
  </si>
  <si>
    <t>NEGRO</t>
  </si>
  <si>
    <t>ANDRES POSNER</t>
  </si>
  <si>
    <t>CAMBIO FILTROS DE AIRE</t>
  </si>
  <si>
    <t>INSTALACION PROTECTORES RADIADOR</t>
  </si>
  <si>
    <t>LUBRICACION DE CADENA</t>
  </si>
  <si>
    <t>GIA 73F</t>
  </si>
  <si>
    <t>SUPER TENERE</t>
  </si>
  <si>
    <t>GYK 86G</t>
  </si>
  <si>
    <t>JOHN RODRIGUEZ</t>
  </si>
  <si>
    <t>CAMBIO DE ACEITE</t>
  </si>
  <si>
    <t>DEPURACION ABS</t>
  </si>
  <si>
    <t>MTO PREVENTIVO</t>
  </si>
  <si>
    <t>VALVULINA</t>
  </si>
  <si>
    <t>VSTROM</t>
  </si>
  <si>
    <t>LEONARDO</t>
  </si>
  <si>
    <t>MANTENIMIENTO GENERAL</t>
  </si>
  <si>
    <t>TECNOMECANICA</t>
  </si>
  <si>
    <t>ESCOBILLAS</t>
  </si>
  <si>
    <t>DUCATI</t>
  </si>
  <si>
    <t xml:space="preserve">CQC </t>
  </si>
  <si>
    <t>GRIS</t>
  </si>
  <si>
    <t>ARREGLO MALETERO</t>
  </si>
  <si>
    <t>CALCAS</t>
  </si>
  <si>
    <t>MT 09</t>
  </si>
  <si>
    <t>NPJ 77E</t>
  </si>
  <si>
    <t>PASTILLAS TRASERAS</t>
  </si>
  <si>
    <t>OBN 85F</t>
  </si>
  <si>
    <t>IMPRONTAS</t>
  </si>
  <si>
    <t>NINJA 400</t>
  </si>
  <si>
    <t>NJD 45F</t>
  </si>
  <si>
    <t>VERDE</t>
  </si>
  <si>
    <t>ARREGLO TANQUE</t>
  </si>
  <si>
    <t>ARREGLO TAPAS LATERALES</t>
  </si>
  <si>
    <t>PINTURA GENERAL</t>
  </si>
  <si>
    <t>ARREGLO MANUBRIO DERECHO</t>
  </si>
  <si>
    <t>ARREGLO BOMBA DE FRENO TRASERA</t>
  </si>
  <si>
    <t>MANO DE OBRA</t>
  </si>
  <si>
    <t>RFRIGERANTE</t>
  </si>
  <si>
    <t>ACEITE MOTUL 7100</t>
  </si>
  <si>
    <t>ARREGLO STAY FRONTAL</t>
  </si>
  <si>
    <t>RTECNOMECANICA</t>
  </si>
  <si>
    <t>LIQUIDO DE FRENOS</t>
  </si>
  <si>
    <t>APASCHE</t>
  </si>
  <si>
    <t>IVT 74H</t>
  </si>
  <si>
    <t>CAMILO MUÑOZ</t>
  </si>
  <si>
    <t>MTO GENERAL</t>
  </si>
  <si>
    <t>PORTAPLCA</t>
  </si>
  <si>
    <t>GS 500</t>
  </si>
  <si>
    <t>SMM 95B</t>
  </si>
  <si>
    <t>JORGE SANCHEZ</t>
  </si>
  <si>
    <t>BATERIA</t>
  </si>
  <si>
    <t>LLANTA TRASERA</t>
  </si>
  <si>
    <t>BOBINA</t>
  </si>
  <si>
    <t>VERSYS 650</t>
  </si>
  <si>
    <t>JJH 97B</t>
  </si>
  <si>
    <t>GUILLERMO BRICEÑO</t>
  </si>
  <si>
    <t>ARREGLO VENDIX</t>
  </si>
  <si>
    <t>TPS</t>
  </si>
  <si>
    <t xml:space="preserve">R6 </t>
  </si>
  <si>
    <t>ATX 14C</t>
  </si>
  <si>
    <t>FELIPE CARDOZO</t>
  </si>
  <si>
    <t>MANO DE OBRA CAMBIO DE ACEITE</t>
  </si>
  <si>
    <t>CAMBIO LIQUIDO DE FRENOS</t>
  </si>
  <si>
    <t>CAMBIO REFRIGERANTE</t>
  </si>
  <si>
    <t>MTO FILTRO DE AIRE Y BOBINAS</t>
  </si>
  <si>
    <t>4 BUJIAS</t>
  </si>
  <si>
    <t>TENERE 660</t>
  </si>
  <si>
    <t>BWZ 31E</t>
  </si>
  <si>
    <t>NESTOR TELLEZ</t>
  </si>
  <si>
    <t>MTO DE TRAPECIO</t>
  </si>
  <si>
    <t>MTO DE TIJERA</t>
  </si>
  <si>
    <t>MTO MANIGUETAS</t>
  </si>
  <si>
    <t>HQO 25F</t>
  </si>
  <si>
    <t>VERDE OSCURO</t>
  </si>
  <si>
    <t>GABRIEL BERMUDEZ</t>
  </si>
  <si>
    <t>GUAYA DE ACELERADOR</t>
  </si>
  <si>
    <t>UGO 82D</t>
  </si>
  <si>
    <t>FERNANDO ZORRO</t>
  </si>
  <si>
    <t>ARREGLO ABS</t>
  </si>
  <si>
    <t>ARREGLO TABLERO</t>
  </si>
  <si>
    <t>MTO Y RTEN DE CLUTCH</t>
  </si>
  <si>
    <t>MTO BOBINAS</t>
  </si>
  <si>
    <t>FILTRO DE AIRE</t>
  </si>
  <si>
    <t>RETOQUES</t>
  </si>
  <si>
    <t>TPIZADO DE SILLAS</t>
  </si>
  <si>
    <t>VSTROM 650</t>
  </si>
  <si>
    <t>LYW 10A</t>
  </si>
  <si>
    <t>LYM 10A</t>
  </si>
  <si>
    <t>JOHN JAIRO MELO</t>
  </si>
  <si>
    <t>MTO TRAPECIO Y TIJERA</t>
  </si>
  <si>
    <t xml:space="preserve">MTO FILTRO DE AIRE KYN </t>
  </si>
  <si>
    <t>ARREGLO GATO</t>
  </si>
  <si>
    <t>BUJES DE TRAPECIO</t>
  </si>
  <si>
    <t>CANASTILLAS</t>
  </si>
  <si>
    <t>RODAMIENTO TRASERO</t>
  </si>
  <si>
    <t>IJT 79E</t>
  </si>
  <si>
    <t>IVAN GOMEZ</t>
  </si>
  <si>
    <t>MTO DE CARDAN</t>
  </si>
  <si>
    <t>MTO Y RETEN DE CLUTCH</t>
  </si>
  <si>
    <t>AWR 37E</t>
  </si>
  <si>
    <t>STIVENSON GARCIA</t>
  </si>
  <si>
    <t>MTO TRAPECIO</t>
  </si>
  <si>
    <t>CAMBIO DE ACEITE 10W40</t>
  </si>
  <si>
    <t>REVISION FILTRO DE AIRE</t>
  </si>
  <si>
    <t>PASTILLAS DELANTREAS</t>
  </si>
  <si>
    <t>BMW 1200</t>
  </si>
  <si>
    <t>NNI 29D</t>
  </si>
  <si>
    <t>BOMBA DE GASILINA</t>
  </si>
  <si>
    <t>MTO Y ARREGLO CUERPO DE ACELERACION</t>
  </si>
  <si>
    <t>SERVICIO DE SCANNER</t>
  </si>
  <si>
    <t>DESPINCHADA</t>
  </si>
  <si>
    <t>DUKE 200</t>
  </si>
  <si>
    <t>RBY 08G</t>
  </si>
  <si>
    <t>BLANCO</t>
  </si>
  <si>
    <t>SENSOR DE CAMBIOS</t>
  </si>
  <si>
    <t>DIRECCIONAL TRASERA</t>
  </si>
  <si>
    <t>OAS 92E</t>
  </si>
  <si>
    <t>ARENA</t>
  </si>
  <si>
    <t>DANIEL CORREA</t>
  </si>
  <si>
    <t>MTO DE BARRA DERECHA</t>
  </si>
  <si>
    <t>RETEN DE BARRAS</t>
  </si>
  <si>
    <t>ACEITE HIDRAULICO</t>
  </si>
  <si>
    <t>MEDIAS PARA BARRAS</t>
  </si>
  <si>
    <t>NVD 36E</t>
  </si>
  <si>
    <t>MARIO CARONELL</t>
  </si>
  <si>
    <t>RODAMIENTOS TRASEROS</t>
  </si>
  <si>
    <t xml:space="preserve">MANO DE OBRA </t>
  </si>
  <si>
    <t>FZL 79C</t>
  </si>
  <si>
    <t>PIPE PEÑA</t>
  </si>
  <si>
    <t>STAY FRONTAL</t>
  </si>
  <si>
    <t>MANO DE OIBRA</t>
  </si>
  <si>
    <t>BVY 48</t>
  </si>
  <si>
    <t>CARLOS DIAZ</t>
  </si>
  <si>
    <t>MANIGUETA</t>
  </si>
  <si>
    <t>BASE</t>
  </si>
  <si>
    <t>PERA</t>
  </si>
  <si>
    <t>XTZ 150</t>
  </si>
  <si>
    <t>YBK 46G</t>
  </si>
  <si>
    <t>TENSION DE CADENA</t>
  </si>
  <si>
    <t>MAB 12D</t>
  </si>
  <si>
    <t>FRANCISCO LOPEZ</t>
  </si>
  <si>
    <t>MANO DE OBRA BARRA</t>
  </si>
  <si>
    <t>GUARDAPOLVO</t>
  </si>
  <si>
    <t>LHB 42D</t>
  </si>
  <si>
    <t>S1000XR</t>
  </si>
  <si>
    <t>LDZ 42F</t>
  </si>
  <si>
    <t>JERSON SAMANIEGO</t>
  </si>
  <si>
    <t>INSTALAR INHIBIDOR SENSOR MARIPOSA</t>
  </si>
  <si>
    <t>SOPORTES DE EXPLORADORAS</t>
  </si>
  <si>
    <t>RETIRAR PPF</t>
  </si>
  <si>
    <t>HIMALAYAN</t>
  </si>
  <si>
    <t>SOK 79F</t>
  </si>
  <si>
    <t>JESUS FIGUEROA</t>
  </si>
  <si>
    <t>ARREGLO CABLES</t>
  </si>
  <si>
    <t xml:space="preserve">MANUBRIO </t>
  </si>
  <si>
    <t>TAPA LATERAL</t>
  </si>
  <si>
    <t>TAPA CARENAJE</t>
  </si>
  <si>
    <t>CADENILLA</t>
  </si>
  <si>
    <t>PINTURA TANQUE</t>
  </si>
  <si>
    <t xml:space="preserve">TPA LATERAL </t>
  </si>
  <si>
    <t>R 15</t>
  </si>
  <si>
    <t>CRISTIAN COCA</t>
  </si>
  <si>
    <t>IQD 85F</t>
  </si>
  <si>
    <t>CUNAS</t>
  </si>
  <si>
    <t>ARREGLO SUSPENSIÓN</t>
  </si>
  <si>
    <t>GIXXER 250</t>
  </si>
  <si>
    <t>YFK 75F</t>
  </si>
  <si>
    <t>SANTIAGO</t>
  </si>
  <si>
    <t>NIVELACION DE ACEITE</t>
  </si>
  <si>
    <t>MTO KIT DE ARRASTRE</t>
  </si>
  <si>
    <t>VERSYS 300</t>
  </si>
  <si>
    <t>JGX 78E</t>
  </si>
  <si>
    <t>MAURICIO REDONDO</t>
  </si>
  <si>
    <t>PASTILLAS DELANTERAS</t>
  </si>
  <si>
    <t>RAFAEL HERRERA</t>
  </si>
  <si>
    <t>PINTURA DE TAPAS</t>
  </si>
  <si>
    <t>INSTALACION DE GUARDABARRO</t>
  </si>
  <si>
    <t>TENERE 250</t>
  </si>
  <si>
    <t>CAN 09E</t>
  </si>
  <si>
    <t>CRISTIAN HENAO</t>
  </si>
  <si>
    <t>ARREGLO MANUBRIO</t>
  </si>
  <si>
    <t>Z 250</t>
  </si>
  <si>
    <t>YRT 35D</t>
  </si>
  <si>
    <t>MTO DE CADENA</t>
  </si>
  <si>
    <t>GIXXER 150</t>
  </si>
  <si>
    <t>MXU 75H</t>
  </si>
  <si>
    <t>MANO DE OBRA REPUESTOS</t>
  </si>
  <si>
    <t>UHY 48D</t>
  </si>
  <si>
    <t>CRONICK</t>
  </si>
  <si>
    <t>DOMINAR 400</t>
  </si>
  <si>
    <t>CRX 04H</t>
  </si>
  <si>
    <t>TORNILLOS BASE MOTOR</t>
  </si>
  <si>
    <t>XPULSE</t>
  </si>
  <si>
    <t>ZFI 69G</t>
  </si>
  <si>
    <t>SAMUEL</t>
  </si>
  <si>
    <t>DISCOS DE CLUTCH</t>
  </si>
  <si>
    <t>1 1/4 DE ACEITE</t>
  </si>
  <si>
    <t>PULSAR 180</t>
  </si>
  <si>
    <t>JUAN PABLO</t>
  </si>
  <si>
    <t>PASTILLAS</t>
  </si>
  <si>
    <t>HONDA CB 190</t>
  </si>
  <si>
    <t>GCD 30H</t>
  </si>
  <si>
    <t>ROJO</t>
  </si>
  <si>
    <t>YULI MOLANO</t>
  </si>
  <si>
    <t>APACHE</t>
  </si>
  <si>
    <t>IHX 26G</t>
  </si>
  <si>
    <t>EDUARDO</t>
  </si>
  <si>
    <t>BMW 310</t>
  </si>
  <si>
    <t>OCC  18E</t>
  </si>
  <si>
    <t xml:space="preserve">JHON </t>
  </si>
  <si>
    <t xml:space="preserve">ACEITE </t>
  </si>
  <si>
    <t>MANO DE OBRA ACEITE</t>
  </si>
  <si>
    <t xml:space="preserve">BENELLI TRK </t>
  </si>
  <si>
    <t>GYJ 66G</t>
  </si>
  <si>
    <t>DAVID ROBAYO</t>
  </si>
  <si>
    <t>INSTALACION HAND SABER</t>
  </si>
  <si>
    <t>CAMBIO DE ACUNAS</t>
  </si>
  <si>
    <t>CAMBIO DE GUAYAS</t>
  </si>
  <si>
    <t>BMW F900</t>
  </si>
  <si>
    <t>GRIS/ROJO</t>
  </si>
  <si>
    <t>FUGA</t>
  </si>
  <si>
    <t>NND 97F</t>
  </si>
  <si>
    <t>OCD 50E</t>
  </si>
  <si>
    <t>NARANJA</t>
  </si>
  <si>
    <t>ALEJANDRO SUESCA</t>
  </si>
  <si>
    <t>CAMBIO DE CUNAS</t>
  </si>
  <si>
    <t>BMW 1250</t>
  </si>
  <si>
    <t>CKJ</t>
  </si>
  <si>
    <t>JHOSEF HOYOS</t>
  </si>
  <si>
    <t>EXTRACCION DE TORNILLO</t>
  </si>
  <si>
    <t>TORNILLO</t>
  </si>
  <si>
    <t>LABADA</t>
  </si>
  <si>
    <t>RODAMIENTOS DELANTEROS</t>
  </si>
  <si>
    <t>MTO DE BRRA</t>
  </si>
  <si>
    <t>RODAMIENTOS DE TIJERA</t>
  </si>
  <si>
    <t>YHB 52C</t>
  </si>
  <si>
    <t>EDGAR ACOSTA</t>
  </si>
  <si>
    <t>BOMBILLOS DE FAROLA</t>
  </si>
  <si>
    <t>CAMBIO DE LLANTA</t>
  </si>
  <si>
    <t>FUGA CKP</t>
  </si>
  <si>
    <t>LAVDA</t>
  </si>
  <si>
    <t>RADIO TRASERO</t>
  </si>
  <si>
    <t>AJUSTE DE CAMBIOS</t>
  </si>
  <si>
    <t>OIL 79D</t>
  </si>
  <si>
    <t>CESAR</t>
  </si>
  <si>
    <t xml:space="preserve">TAPA </t>
  </si>
  <si>
    <t>EXTRACCION</t>
  </si>
  <si>
    <t>TORNILLOS</t>
  </si>
  <si>
    <t>BMW  F750GS</t>
  </si>
  <si>
    <t>OEL 80E</t>
  </si>
  <si>
    <t>JOSE ESPITIA</t>
  </si>
  <si>
    <t>VMX 09D</t>
  </si>
  <si>
    <t>MAURICIO ALBA</t>
  </si>
  <si>
    <t>BUJIAS</t>
  </si>
  <si>
    <t xml:space="preserve">BASE </t>
  </si>
  <si>
    <t xml:space="preserve">IVA </t>
  </si>
  <si>
    <t>ODV 79D</t>
  </si>
  <si>
    <t>IVAN TRIVIÑO</t>
  </si>
  <si>
    <t xml:space="preserve">MANO DE OBRA  </t>
  </si>
  <si>
    <t>AJUSTE DE CUNAS</t>
  </si>
  <si>
    <t>CROMO DE BARRA</t>
  </si>
  <si>
    <t>NORDEN</t>
  </si>
  <si>
    <t>EDT 96G</t>
  </si>
  <si>
    <t>AJUSTE DE BARRAS</t>
  </si>
  <si>
    <t>QDB 51E</t>
  </si>
  <si>
    <t>OSCAR LUGO</t>
  </si>
  <si>
    <t>SINCRONIZACION Y MTO GENERAL</t>
  </si>
  <si>
    <t>TAPITA ESPEJO</t>
  </si>
  <si>
    <t>ARREGLO TAPA</t>
  </si>
  <si>
    <t>TDM 900</t>
  </si>
  <si>
    <t>BUZ 47C</t>
  </si>
  <si>
    <t>MTO CLUTCH BOBINAS Y MANO DE OBRA</t>
  </si>
  <si>
    <t>GALEANO</t>
  </si>
  <si>
    <t>ARREGLO MANIGUETA</t>
  </si>
  <si>
    <t>ARREGLO Y PINTURA GUARDABARRO</t>
  </si>
  <si>
    <t>ARREGLO RIN DELANTERO</t>
  </si>
  <si>
    <t>PINTURA TAPAS</t>
  </si>
  <si>
    <t>CAT 26B</t>
  </si>
  <si>
    <t>JUAN CAMILO MORENO</t>
  </si>
  <si>
    <t>BOMBILLO</t>
  </si>
  <si>
    <t>RPS 11G</t>
  </si>
  <si>
    <t>CAMILO PEDRAZA</t>
  </si>
  <si>
    <t>ODN 02E</t>
  </si>
  <si>
    <t>FABIO PIÑEROS</t>
  </si>
  <si>
    <t>ESPUMAS GRIPS</t>
  </si>
  <si>
    <t>YQM 72E</t>
  </si>
  <si>
    <t>OMAR PEREZ</t>
  </si>
  <si>
    <t>RADIOS</t>
  </si>
  <si>
    <t>ENRADIADO RIN</t>
  </si>
  <si>
    <t>SALDO RIN</t>
  </si>
  <si>
    <t>JHONNY GOMEZ</t>
  </si>
  <si>
    <t>OEA 03E</t>
  </si>
  <si>
    <t>ROYAL ENFIELD</t>
  </si>
  <si>
    <t>YQS 05D</t>
  </si>
  <si>
    <t>EDGARDO</t>
  </si>
  <si>
    <t>RETIRAR PROTECTOR DE EXOSTO</t>
  </si>
  <si>
    <t>ENSAMBLE Y DESENSAMBLE</t>
  </si>
  <si>
    <t>TRK</t>
  </si>
  <si>
    <t>JUAN DAVID</t>
  </si>
  <si>
    <t>CAMBIAR LLANTA</t>
  </si>
  <si>
    <t>BOMBILLO FRONTAL</t>
  </si>
  <si>
    <t>MTO MANDO DERECHO</t>
  </si>
  <si>
    <t>BENELLI 180S</t>
  </si>
  <si>
    <t>CCY 44G</t>
  </si>
  <si>
    <t>ODV 35G</t>
  </si>
  <si>
    <t>ACEITE MOTOR</t>
  </si>
  <si>
    <t>CB 190</t>
  </si>
  <si>
    <t>MUP 98E</t>
  </si>
  <si>
    <t>BRAYAN CABEZAS</t>
  </si>
  <si>
    <t>MANO DE OBRA MOTOR</t>
  </si>
  <si>
    <t>EMPAQUETADURA</t>
  </si>
  <si>
    <t>ARREGLO EJE</t>
  </si>
  <si>
    <t>ACEITE MOTOR 20W50</t>
  </si>
  <si>
    <t>VERSYS</t>
  </si>
  <si>
    <t>GIOVANNY RICO</t>
  </si>
  <si>
    <t>EXPLORADORAS</t>
  </si>
  <si>
    <t>OMA 02B</t>
  </si>
  <si>
    <t>HENRY CABEZAS</t>
  </si>
  <si>
    <t>BWS</t>
  </si>
  <si>
    <t>WMS 62D</t>
  </si>
  <si>
    <t>WNS 62D</t>
  </si>
  <si>
    <t>MANDO</t>
  </si>
  <si>
    <t>COLOCAR MANDO</t>
  </si>
  <si>
    <t>NNF 14G</t>
  </si>
  <si>
    <t>FILTRO DE ACEITTE</t>
  </si>
  <si>
    <t>DISCOS Y SEPARADORES DE CLUTCH</t>
  </si>
  <si>
    <t>SELLO MECANICP</t>
  </si>
  <si>
    <t>DAW 98E</t>
  </si>
  <si>
    <t>FRANCISCO ROJAS</t>
  </si>
  <si>
    <t>CAMBIO FILTRO DE AIRE</t>
  </si>
  <si>
    <t>JTS 73D</t>
  </si>
  <si>
    <t>RAFAEL TELLEZ</t>
  </si>
  <si>
    <t xml:space="preserve">PASTILLAS </t>
  </si>
  <si>
    <t>CAUCHOS Y TORNILLOS DE VISOR</t>
  </si>
  <si>
    <t>PANEL</t>
  </si>
  <si>
    <t>BASE EMBLEMA</t>
  </si>
  <si>
    <t>EMBLEMA</t>
  </si>
  <si>
    <t>LLI 29C</t>
  </si>
  <si>
    <t>CARLOS SOTO</t>
  </si>
  <si>
    <t>DISCOS Y SEPARASORES DE CLUTCH</t>
  </si>
  <si>
    <t>FILTRO DE ACEIE</t>
  </si>
  <si>
    <t>MTO KIT CUERPO DE ACELERACION</t>
  </si>
  <si>
    <t>OSX 53C</t>
  </si>
  <si>
    <t>RAFAEL</t>
  </si>
  <si>
    <t>MECANISMO</t>
  </si>
  <si>
    <t>FUGA ARREGLO</t>
  </si>
  <si>
    <t>BARRAS ESTABILIZADORAS</t>
  </si>
  <si>
    <t>BVT 33C</t>
  </si>
  <si>
    <t>CRISTIAN</t>
  </si>
  <si>
    <t>MANO DE OBRA BARRAS</t>
  </si>
  <si>
    <t>RTX 150</t>
  </si>
  <si>
    <t>GEF 25F</t>
  </si>
  <si>
    <t>FMF 30C</t>
  </si>
  <si>
    <t>JESUS SARMIENTO</t>
  </si>
  <si>
    <t>RETOQUES GENERALES</t>
  </si>
  <si>
    <t>DEFENSAS</t>
  </si>
  <si>
    <t>PINTURA DE PESAS</t>
  </si>
  <si>
    <t>INSTALACION DE EXPLORADORAS</t>
  </si>
  <si>
    <t>TALONERAS</t>
  </si>
  <si>
    <t>BASE EXPLORADORAS</t>
  </si>
  <si>
    <t>PINTURA PANELES</t>
  </si>
  <si>
    <t>PINTURA GUARDABARRO</t>
  </si>
  <si>
    <t>RETEN Y MTO DE CLUTCH</t>
  </si>
  <si>
    <t>DBQ 74H</t>
  </si>
  <si>
    <t>MARTIN</t>
  </si>
  <si>
    <t>JSY 04D</t>
  </si>
  <si>
    <t>JJY 04D</t>
  </si>
  <si>
    <t>SEÑOR ROLON</t>
  </si>
  <si>
    <t>MTO Y RETEN DE DE CLUTCH</t>
  </si>
  <si>
    <t>EMPAQUE RESERVORIO DE CLUTCH</t>
  </si>
  <si>
    <t>BUJE DE CLUTCH</t>
  </si>
  <si>
    <t>BMW F 700</t>
  </si>
  <si>
    <t>AVZ 13D</t>
  </si>
  <si>
    <t>JULIAN</t>
  </si>
  <si>
    <t>REBOBINADO DE CORONA</t>
  </si>
  <si>
    <t>EMPAQUES</t>
  </si>
  <si>
    <t>RNM 05G</t>
  </si>
  <si>
    <t>JAVIER BECERRA</t>
  </si>
  <si>
    <t>CAMBIO DE LLANTAS</t>
  </si>
  <si>
    <t>ARREGLO BASE MANUBRIO</t>
  </si>
  <si>
    <t>CZX 51C</t>
  </si>
  <si>
    <t>MARIO SAAVEDRA</t>
  </si>
  <si>
    <t>CORONA</t>
  </si>
  <si>
    <t>ARREGLO 2 RINES</t>
  </si>
  <si>
    <t>ARREGLO SISTEMA ELECTRICO</t>
  </si>
  <si>
    <t>CAK 87H</t>
  </si>
  <si>
    <t>ALEJANDRO</t>
  </si>
  <si>
    <t>TENSION LUBRICACION DE CADENA</t>
  </si>
  <si>
    <t>ARREGLO HAND SABER</t>
  </si>
  <si>
    <t>MTO FILTRO DE AIRE</t>
  </si>
  <si>
    <t>OQP 89D</t>
  </si>
  <si>
    <t>YEIMER</t>
  </si>
  <si>
    <t>CAMBIO SELLO MECANICO</t>
  </si>
  <si>
    <t>RBD 49C</t>
  </si>
  <si>
    <t>GILDARDO</t>
  </si>
  <si>
    <t>PINTURA TAPA DE MOTOR</t>
  </si>
  <si>
    <t>MODISICACION DE EXOSTO</t>
  </si>
  <si>
    <t xml:space="preserve">FZ </t>
  </si>
  <si>
    <t>HUD 93E</t>
  </si>
  <si>
    <t>CRIS OLAYA</t>
  </si>
  <si>
    <t>REPARACION</t>
  </si>
  <si>
    <t>SENTADA DE VALVULAS</t>
  </si>
  <si>
    <t>KIT DE CILINDRO</t>
  </si>
  <si>
    <t>EMPAQUE TADURA</t>
  </si>
  <si>
    <t>SELLOS DE VALVULAS</t>
  </si>
  <si>
    <t>QDP 78C</t>
  </si>
  <si>
    <t>DARIO PEROSA</t>
  </si>
  <si>
    <t>4 VALVULAS</t>
  </si>
  <si>
    <t>EMPAQUE CULATA</t>
  </si>
  <si>
    <t>GUAYAS DE ACELERADOR</t>
  </si>
  <si>
    <t xml:space="preserve"> 4 BUJIAS</t>
  </si>
  <si>
    <t>OBA 63E</t>
  </si>
  <si>
    <t>ANDRES POVEDA</t>
  </si>
  <si>
    <t>CAMBIO VALVULINA</t>
  </si>
  <si>
    <t>FDEPURACION ABS</t>
  </si>
  <si>
    <t>ARREGLO DE RIN</t>
  </si>
  <si>
    <t>MTO CONTROL CRUCERO</t>
  </si>
  <si>
    <t>ARREGLO BOBINA</t>
  </si>
  <si>
    <t>BUD 44G</t>
  </si>
  <si>
    <t>CRISTIAN OCHOA</t>
  </si>
  <si>
    <t>PINTURA DEFENSA Y PORAMALETAS</t>
  </si>
  <si>
    <t>ARREGLO TAPA LATERAL</t>
  </si>
  <si>
    <t>VICTORI</t>
  </si>
  <si>
    <t>ARREGLO CAJA FILTRO</t>
  </si>
  <si>
    <t>MTO MORDAZA DELANTERA</t>
  </si>
  <si>
    <t>MUG 71E</t>
  </si>
  <si>
    <t>DWI 15F</t>
  </si>
  <si>
    <t>GUSTAVO RODRIGUEZ</t>
  </si>
  <si>
    <t>UFJ 29D</t>
  </si>
  <si>
    <t>ALEXANDER ROZO</t>
  </si>
  <si>
    <t>MTO DE CLUTCH</t>
  </si>
  <si>
    <t>INSTALACION CARPLAY</t>
  </si>
  <si>
    <t>INSTALACION CALEFACTORES</t>
  </si>
  <si>
    <t>ALUMBRAPLACA</t>
  </si>
  <si>
    <t>COCUYOS</t>
  </si>
  <si>
    <t>VZM 89C</t>
  </si>
  <si>
    <t>JUAN DAVID VILLEGAS</t>
  </si>
  <si>
    <t>LLANTA</t>
  </si>
  <si>
    <t>INSTALACION DE LLANTA</t>
  </si>
  <si>
    <t>EMBOBINADO CORONA</t>
  </si>
  <si>
    <t xml:space="preserve">EMPAQUE </t>
  </si>
  <si>
    <t xml:space="preserve">BOMBILLOS </t>
  </si>
  <si>
    <t>CABLEADO</t>
  </si>
  <si>
    <t>ODY 49A</t>
  </si>
  <si>
    <t>BARRAS TELESCOPICAS</t>
  </si>
  <si>
    <t>STAY</t>
  </si>
  <si>
    <t>INSTALACION STAY</t>
  </si>
  <si>
    <t>RETEN DE BARRA</t>
  </si>
  <si>
    <t>TAPA FAROLA</t>
  </si>
  <si>
    <t>DEFLECTORES</t>
  </si>
  <si>
    <t>CUPULA</t>
  </si>
  <si>
    <t>OBSEQUIO</t>
  </si>
  <si>
    <t>XT 660</t>
  </si>
  <si>
    <t>JDL 27C</t>
  </si>
  <si>
    <t>DISCO TRASERO</t>
  </si>
  <si>
    <t>PASADOR FRENO</t>
  </si>
  <si>
    <t>YRI 32D</t>
  </si>
  <si>
    <t>IVAN MORA</t>
  </si>
  <si>
    <t>DEPURACION LIQUIDO DE FRENOS</t>
  </si>
  <si>
    <t>TAPA DE RADIADOR</t>
  </si>
  <si>
    <t>CAMBIO INTERRUPTOR EXPLORADORAS</t>
  </si>
  <si>
    <t>FILTRO DE GASOLINA</t>
  </si>
  <si>
    <t>TKN 06E</t>
  </si>
  <si>
    <t>MTO MORDAZAS</t>
  </si>
  <si>
    <t>MTO SUSPENSION TRASERA</t>
  </si>
  <si>
    <t>WCA 65D</t>
  </si>
  <si>
    <t>INSTALACION LLANTA TRASERA</t>
  </si>
  <si>
    <t>3 RADIOS</t>
  </si>
  <si>
    <t>BUJE Y TORNILLO MALETERO</t>
  </si>
  <si>
    <t>CAMBIO COCUYO</t>
  </si>
  <si>
    <t>CAMBIO EXPLORADORA</t>
  </si>
  <si>
    <t>ELDER</t>
  </si>
  <si>
    <t>SBI 32D</t>
  </si>
  <si>
    <t>AMARILLO</t>
  </si>
  <si>
    <t>KIRIL</t>
  </si>
  <si>
    <t>INSTALACION SENSORES DE PRESION</t>
  </si>
  <si>
    <t>INSTALACION TERCER STOP</t>
  </si>
  <si>
    <t>PARCHAR LLANTA TRASERA</t>
  </si>
  <si>
    <t>SINCRONIZACION</t>
  </si>
  <si>
    <t>ARREGLO TAPA BATERIA</t>
  </si>
  <si>
    <t>ARREGLO CAJA DE HERRAMIENTA</t>
  </si>
  <si>
    <t>PIAGGIO</t>
  </si>
  <si>
    <t>YSI 32D</t>
  </si>
  <si>
    <t>CARLOS ARANGO</t>
  </si>
  <si>
    <t>INSTALACION MALETERO</t>
  </si>
  <si>
    <t>PINTURA MALETERO</t>
  </si>
  <si>
    <t>PINTURA BABERO</t>
  </si>
  <si>
    <t>JWY 20E</t>
  </si>
  <si>
    <t>HECTOR OCHOA</t>
  </si>
  <si>
    <t>ARREGLO GOLPE DE RIN</t>
  </si>
  <si>
    <t>CAMBIO SENSOR ABS DELANTER</t>
  </si>
  <si>
    <t>GUD 49C</t>
  </si>
  <si>
    <t>HERNAN NAVARRETE</t>
  </si>
  <si>
    <t>BARRA IZQ</t>
  </si>
  <si>
    <t>REVISAR FUGA RADIADOR</t>
  </si>
  <si>
    <t>EQE 71F</t>
  </si>
  <si>
    <t>FREDY URUEÑA</t>
  </si>
  <si>
    <t>SENSOR ABS TRASERO</t>
  </si>
  <si>
    <t>MANO DE OBRA FILTRO DE AIRE</t>
  </si>
  <si>
    <t>BASE POSAPIE DERECHO</t>
  </si>
  <si>
    <t>MANO DE OBRA GENERAL</t>
  </si>
  <si>
    <t>FLQ 30C</t>
  </si>
  <si>
    <t>JANIER OROZCO</t>
  </si>
  <si>
    <t xml:space="preserve">ANILLOS </t>
  </si>
  <si>
    <t>ACEITE 10W40</t>
  </si>
  <si>
    <t>HERNAN</t>
  </si>
  <si>
    <t>LLANTA PIRELLI TRAS</t>
  </si>
  <si>
    <t>PIÑON DEL</t>
  </si>
  <si>
    <t>ODV 64D</t>
  </si>
  <si>
    <t>WILLIAM CASTRO</t>
  </si>
  <si>
    <t>PINTURA DE TANQUE</t>
  </si>
  <si>
    <t>TAPIZADO SILLIN</t>
  </si>
  <si>
    <t>POLICHAR VISOR</t>
  </si>
  <si>
    <t>PARRILLA GIVI</t>
  </si>
  <si>
    <t>MARCAR</t>
  </si>
  <si>
    <t>PROTECTOR FAROLA</t>
  </si>
  <si>
    <t>PULSAR 220</t>
  </si>
  <si>
    <t>WEIMAR</t>
  </si>
  <si>
    <t>BNP 47G</t>
  </si>
  <si>
    <t>JEISON CUERVO</t>
  </si>
  <si>
    <t>LAVAD</t>
  </si>
  <si>
    <t>CAFÉ</t>
  </si>
  <si>
    <t>CAMBIO DE ACEITE 10W 40</t>
  </si>
  <si>
    <t>CAMBIO DE PESAS</t>
  </si>
  <si>
    <t>IWV 08F</t>
  </si>
  <si>
    <t>JUAN FRANCO</t>
  </si>
  <si>
    <t>TENSOR DE CADENILLA</t>
  </si>
  <si>
    <t>MANO DE OBRA CADENILLA</t>
  </si>
  <si>
    <t>MTO DE BARRA</t>
  </si>
  <si>
    <t>XRE 300</t>
  </si>
  <si>
    <t>LAY 15G</t>
  </si>
  <si>
    <t>JULIAN PORRAS</t>
  </si>
  <si>
    <t>CUNAS MANO DE OBRA</t>
  </si>
  <si>
    <t xml:space="preserve">KTM RC </t>
  </si>
  <si>
    <t>APB 87C</t>
  </si>
  <si>
    <t>LINA</t>
  </si>
  <si>
    <t>GUAYA DE CLUTCH</t>
  </si>
  <si>
    <t>ARREGLO STOP</t>
  </si>
  <si>
    <t>SRK 57E</t>
  </si>
  <si>
    <t>RELAY ENCENDIDO</t>
  </si>
  <si>
    <t>TAF 55D</t>
  </si>
  <si>
    <t>ARTURO LUQUE</t>
  </si>
  <si>
    <t>1 BOBINA</t>
  </si>
  <si>
    <t>MTO CUERPO DE ACELERACION</t>
  </si>
  <si>
    <t>ORK 96C</t>
  </si>
  <si>
    <t>RAUL BARRETO</t>
  </si>
  <si>
    <t>1 RETEN DE BARRA</t>
  </si>
  <si>
    <t>1 BOMBILLO DIRECCIONAL</t>
  </si>
  <si>
    <t>DAM 21E</t>
  </si>
  <si>
    <t xml:space="preserve">STAY </t>
  </si>
  <si>
    <t>ARREGLO FUGA CKP</t>
  </si>
  <si>
    <t>CAUCHOS SOPORTE</t>
  </si>
  <si>
    <t>BMW F800</t>
  </si>
  <si>
    <t>OCF 85E</t>
  </si>
  <si>
    <t>ISMAEL AMAYA</t>
  </si>
  <si>
    <t>ARREGLO DE GATO</t>
  </si>
  <si>
    <t>BOMBILLO H4</t>
  </si>
  <si>
    <t>CANDADO DE CADENA</t>
  </si>
  <si>
    <t>JUAN CARLOS</t>
  </si>
  <si>
    <t>IQH 92D</t>
  </si>
  <si>
    <t>MARTIN VARGAS</t>
  </si>
  <si>
    <t>PINTURA TAPA DE EXOSTO</t>
  </si>
  <si>
    <t>STI 87D</t>
  </si>
  <si>
    <t>MAURICIO ARROYAVE</t>
  </si>
  <si>
    <t>BUJES DE DIRECCION</t>
  </si>
  <si>
    <t>FUGA Y MTO DE CARDAN</t>
  </si>
  <si>
    <t>LLANTA TRASERAS</t>
  </si>
  <si>
    <t>JNZ 67E</t>
  </si>
  <si>
    <t>JOSE MIGUEL TRUJILLO</t>
  </si>
  <si>
    <t>DISCO DE FRENO</t>
  </si>
  <si>
    <t>MTO BOBINAS BUJIAS Y CUERPO ACELERACI</t>
  </si>
  <si>
    <t>MANO DE OBRA DISCO</t>
  </si>
  <si>
    <t>VKK 62F</t>
  </si>
  <si>
    <t>MIGUEL ARIZA</t>
  </si>
  <si>
    <t>INSTALACION CAJA DE HERRAMIENTAS</t>
  </si>
  <si>
    <t>INSTALACION SOPORTE CEL</t>
  </si>
  <si>
    <t>VARILLAS ANTIVIBRATORIAS</t>
  </si>
  <si>
    <t>SERVIVIO DE SCANNER</t>
  </si>
  <si>
    <t>DESERT X</t>
  </si>
  <si>
    <t>ARREGLO STAY Y FAROLA</t>
  </si>
  <si>
    <t>MTO Y TENSION DE CADENA</t>
  </si>
  <si>
    <t>JXR 85C</t>
  </si>
  <si>
    <t>CIRO RODRIGUEZ</t>
  </si>
  <si>
    <t>MANO DE OBRA REPARACION</t>
  </si>
  <si>
    <t>ANILLOS</t>
  </si>
  <si>
    <t>MANTENIMIENTO PREVENTIVO</t>
  </si>
  <si>
    <t>HAND SABER</t>
  </si>
  <si>
    <t xml:space="preserve">AKT </t>
  </si>
  <si>
    <t>VSF 11D</t>
  </si>
  <si>
    <t>SEBASTIAN LIZARAZO</t>
  </si>
  <si>
    <t>3 RODAMIENTOS</t>
  </si>
  <si>
    <t>CUNAS INSTALADAS</t>
  </si>
  <si>
    <t>MANO DE OBRA RODAMIENTOS</t>
  </si>
  <si>
    <t>CAPUCHON</t>
  </si>
  <si>
    <t>TOTAL</t>
  </si>
  <si>
    <t>BUJIA</t>
  </si>
  <si>
    <t>CB 160</t>
  </si>
  <si>
    <t>IWH 58F</t>
  </si>
  <si>
    <t>DAVID GUTIERREZ</t>
  </si>
  <si>
    <t>MANO DE OBRA INSTALACION REPUESTOS</t>
  </si>
  <si>
    <t>BOMBA DE GASOLINA</t>
  </si>
  <si>
    <t>ZWP 80D</t>
  </si>
  <si>
    <t>SANDER BARBOSA</t>
  </si>
  <si>
    <t>CQC 11G</t>
  </si>
  <si>
    <t>MTO DE FRENOS DEL</t>
  </si>
  <si>
    <t>AJUSTE DE CAJON</t>
  </si>
  <si>
    <t>YPM 39F</t>
  </si>
  <si>
    <t>MIGUEL ARIAS</t>
  </si>
  <si>
    <t>CAPUCHON Y CAUCHO</t>
  </si>
  <si>
    <t>ARREGLO MANIGUETA DE CLUTCH</t>
  </si>
  <si>
    <t>FABIAN ROLON</t>
  </si>
  <si>
    <t>ARREGLO DIRECCIONALES</t>
  </si>
  <si>
    <t>FZ</t>
  </si>
  <si>
    <t>OGN 33F</t>
  </si>
  <si>
    <t>LEISON ESTRADA</t>
  </si>
  <si>
    <t>REBOBINADO CORONA</t>
  </si>
  <si>
    <t>BHG 73</t>
  </si>
  <si>
    <t xml:space="preserve">FABIAN </t>
  </si>
  <si>
    <t xml:space="preserve">BUJIAS </t>
  </si>
  <si>
    <t>MJS 50B</t>
  </si>
  <si>
    <t>REGULADOR</t>
  </si>
  <si>
    <t>ARREGLOSISTEMA ELECTRICO</t>
  </si>
  <si>
    <t>TRACER 900</t>
  </si>
  <si>
    <t>MDX 84F</t>
  </si>
  <si>
    <t>ARREGLO 2 BOBINAS</t>
  </si>
  <si>
    <t>FZ 250</t>
  </si>
  <si>
    <t>LTW 84G</t>
  </si>
  <si>
    <t>KATERINE FAJARDO</t>
  </si>
  <si>
    <t xml:space="preserve">VSTROM </t>
  </si>
  <si>
    <t>FEW 38F</t>
  </si>
  <si>
    <t>JAVIER NARVAEZ</t>
  </si>
  <si>
    <t>MANO DE OBRA PASADORES MOTOR</t>
  </si>
  <si>
    <t>SANTIAGO ALZA</t>
  </si>
  <si>
    <t>KIT DE ARRASTRE</t>
  </si>
  <si>
    <t>CORRECCION FUGA</t>
  </si>
  <si>
    <t>LCG 44F</t>
  </si>
  <si>
    <t xml:space="preserve">JOSE </t>
  </si>
  <si>
    <t>DESPINCHE LLANTA</t>
  </si>
  <si>
    <t>PPQ 65G</t>
  </si>
  <si>
    <t>WALTER CANO</t>
  </si>
  <si>
    <t>TOTAL;</t>
  </si>
  <si>
    <t>HAG 22G</t>
  </si>
  <si>
    <t>ALEJANDRO FLOREZ</t>
  </si>
  <si>
    <t>RETIRAR SLIDERS Y DEFENSAS</t>
  </si>
  <si>
    <t>PINTURA MANIJA</t>
  </si>
  <si>
    <t>PINTURA TAPA EXOSTO</t>
  </si>
  <si>
    <t>TAPON DE ACEITE</t>
  </si>
  <si>
    <t>ESPEJOS</t>
  </si>
  <si>
    <t>MANUBRIO</t>
  </si>
  <si>
    <t>EXTRACCION TORNILLO ESPEJO</t>
  </si>
  <si>
    <t>INSTALACION EXPLORADORAS</t>
  </si>
  <si>
    <t>XXK 10F</t>
  </si>
  <si>
    <t>CAMBIO DE VALVULINA</t>
  </si>
  <si>
    <t>CAMBIO DE AEITE</t>
  </si>
  <si>
    <t>Z800</t>
  </si>
  <si>
    <t>YSO 87D</t>
  </si>
  <si>
    <t>JMM 83G</t>
  </si>
  <si>
    <t>JORGE PRIETO</t>
  </si>
  <si>
    <t xml:space="preserve">MANO DE OBRA CORONA </t>
  </si>
  <si>
    <t>TRK 502</t>
  </si>
  <si>
    <t>CUP 36G</t>
  </si>
  <si>
    <t>YQG 71E</t>
  </si>
  <si>
    <t>MANO DEOBRA</t>
  </si>
  <si>
    <t>TENSION Y LUBRICACION DE CADENA</t>
  </si>
  <si>
    <t>MT 10</t>
  </si>
  <si>
    <t>ELO 41E</t>
  </si>
  <si>
    <t>JULIAN GALINDO</t>
  </si>
  <si>
    <t>CKJ 06F</t>
  </si>
  <si>
    <t>JHOSEF</t>
  </si>
  <si>
    <t>DESPINCHAR LLANTA</t>
  </si>
  <si>
    <t>REISAR RIN</t>
  </si>
  <si>
    <t>AJUSTE CARGADOR</t>
  </si>
  <si>
    <t>ARREGLO DEFENSA</t>
  </si>
  <si>
    <t>UGP 62D</t>
  </si>
  <si>
    <t>MARTIN PORTELA</t>
  </si>
  <si>
    <t>CAMBIO DE ACEIT</t>
  </si>
  <si>
    <t>CAMBIO DE CANASTILLAS EJE DE LEVAS</t>
  </si>
  <si>
    <t>ARREGLO AMORTIGUADOR</t>
  </si>
  <si>
    <t>MANTENIMIENTO SUSPENSION TRASERA</t>
  </si>
  <si>
    <t>GTU 66C</t>
  </si>
  <si>
    <t>JUAN DIEGO</t>
  </si>
  <si>
    <t>MTO GEENRAL</t>
  </si>
  <si>
    <t>CAUCHO DE GATO</t>
  </si>
  <si>
    <t>REVISION FASE NEGATIVA</t>
  </si>
  <si>
    <t>1 RADIO</t>
  </si>
  <si>
    <t xml:space="preserve">LAVADA </t>
  </si>
  <si>
    <t>ANILLADA</t>
  </si>
  <si>
    <t>ARREGLO DE PRENSA</t>
  </si>
  <si>
    <t>NKN 59D</t>
  </si>
  <si>
    <t>ANDRES NIETO</t>
  </si>
  <si>
    <t>DISCO DE FRENO TRASERO</t>
  </si>
  <si>
    <t>INSTALACION DISCO</t>
  </si>
  <si>
    <t>AJUSTE GENERAL</t>
  </si>
  <si>
    <t>CORNETAS</t>
  </si>
  <si>
    <t>CADENA</t>
  </si>
  <si>
    <t>MANTENIMIENTO SUSPENSION DELANTERA</t>
  </si>
  <si>
    <t>ARREGLO MOTOR DE ARRANQUE</t>
  </si>
  <si>
    <t xml:space="preserve">RELAY </t>
  </si>
  <si>
    <t>1/4 DE ACEITE</t>
  </si>
  <si>
    <t>CBR 250</t>
  </si>
  <si>
    <t>WILLIAM HERRERA</t>
  </si>
  <si>
    <t>VALVULAS</t>
  </si>
  <si>
    <t>DISCOS</t>
  </si>
  <si>
    <t>DESCUENTO</t>
  </si>
  <si>
    <t>VICTOR</t>
  </si>
  <si>
    <t>MTO BOMBA DE CLUTCH</t>
  </si>
  <si>
    <t>EUG 29D</t>
  </si>
  <si>
    <t>EDISON ALBA</t>
  </si>
  <si>
    <t>MTO DE BARRA IZQ</t>
  </si>
  <si>
    <t>QUN 32D</t>
  </si>
  <si>
    <t>PTX 80D</t>
  </si>
  <si>
    <t>OSCAR CAÑON</t>
  </si>
  <si>
    <t>ARREGLO PRENSA CLUTCH</t>
  </si>
  <si>
    <t>MGM 42C</t>
  </si>
  <si>
    <t>MORADO</t>
  </si>
  <si>
    <t>DAVID MONTES</t>
  </si>
  <si>
    <t>XTZ 125</t>
  </si>
  <si>
    <t>YVC 53D</t>
  </si>
  <si>
    <t>MTO DE BARRAS</t>
  </si>
  <si>
    <t>MANO DE OBRA RETEN EJE DE CAMBIOS</t>
  </si>
  <si>
    <t>PASTILLAS DEL</t>
  </si>
  <si>
    <t>MT 15</t>
  </si>
  <si>
    <t>OBE 72G</t>
  </si>
  <si>
    <t>ODD 80E</t>
  </si>
  <si>
    <t>DAVID URIBE</t>
  </si>
  <si>
    <t>ARREGLO SUSPENSION</t>
  </si>
  <si>
    <t>SENSOR DE ABS</t>
  </si>
  <si>
    <t>TORNILLOS DE MORDAZA</t>
  </si>
  <si>
    <t>BWY 48</t>
  </si>
  <si>
    <t>OCP 70E</t>
  </si>
  <si>
    <t>OSCAR CARO</t>
  </si>
  <si>
    <t>OCY 99E</t>
  </si>
  <si>
    <t>PEDRO TOSSIN</t>
  </si>
  <si>
    <t>RADIO</t>
  </si>
  <si>
    <t>BALANCIO DE LLANTAS</t>
  </si>
  <si>
    <t>LIMPIEZA FILTRO DE AIRE</t>
  </si>
  <si>
    <t>ARREGLO EXTENSORES DE MANUBRIO</t>
  </si>
  <si>
    <t>KJC 89E</t>
  </si>
  <si>
    <t>DIEGO MUÑOZ</t>
  </si>
  <si>
    <t>REVISION PRENSA DE CLUTCH</t>
  </si>
  <si>
    <t>ODJ 68E</t>
  </si>
  <si>
    <t>CARLOS BONILLA</t>
  </si>
  <si>
    <t>SOLDADURA CHASIS</t>
  </si>
  <si>
    <t>ANDRES ROMERO</t>
  </si>
  <si>
    <t>BMW 1200 GS</t>
  </si>
  <si>
    <t>OGN 09D</t>
  </si>
  <si>
    <t>LEONARDO COSSIO</t>
  </si>
  <si>
    <t>CAMBIO Y ORDEN DE CABLES</t>
  </si>
  <si>
    <t>TAPAS DE CHASIS</t>
  </si>
  <si>
    <t>VICTOR OSSA</t>
  </si>
  <si>
    <t>CRIPTON</t>
  </si>
  <si>
    <t>FZN 41F</t>
  </si>
  <si>
    <t>TATIANA</t>
  </si>
  <si>
    <t>REVISION DE ENCENDIDO</t>
  </si>
  <si>
    <t>CARGA DE BATERIA</t>
  </si>
  <si>
    <t>NC 750</t>
  </si>
  <si>
    <t>VQX 07E</t>
  </si>
  <si>
    <t>CAMILA PINILLA</t>
  </si>
  <si>
    <t>MTO Y DEPURACION DE FRENOS</t>
  </si>
  <si>
    <t>TOTAL.</t>
  </si>
  <si>
    <t>JZS 74C</t>
  </si>
  <si>
    <t>JHON CAJAMARCA</t>
  </si>
  <si>
    <t>PROGRAMACION</t>
  </si>
  <si>
    <t>HARLEY</t>
  </si>
  <si>
    <t>CESAR CASTRO</t>
  </si>
  <si>
    <t>CAMBIAR RETENES DE BARRAS</t>
  </si>
  <si>
    <t xml:space="preserve">BWS </t>
  </si>
  <si>
    <t>MAYOR BLANCO</t>
  </si>
  <si>
    <t>ARREGLO RIN TRASERO</t>
  </si>
  <si>
    <t>DIRECCIIONALES TRASERAS</t>
  </si>
  <si>
    <t>JUAN ANDRES</t>
  </si>
  <si>
    <t>MTO CADENA</t>
  </si>
  <si>
    <t>ARREGLO ESPEJO</t>
  </si>
  <si>
    <t>DIRECCIONAL NUEVA</t>
  </si>
  <si>
    <t>BMW F 750GS</t>
  </si>
  <si>
    <t>OCR 99E</t>
  </si>
  <si>
    <t>ARTHUR FUQUENE</t>
  </si>
  <si>
    <t>2 BUJIAS</t>
  </si>
  <si>
    <t>CAROLINA</t>
  </si>
  <si>
    <t>EJE DE LEVAS</t>
  </si>
  <si>
    <t>BALANCIN</t>
  </si>
  <si>
    <t>CF MOTO</t>
  </si>
  <si>
    <t>FPW 52A</t>
  </si>
  <si>
    <t>400 DE ACEITE</t>
  </si>
  <si>
    <t>GZD 12G</t>
  </si>
  <si>
    <t>MT 03</t>
  </si>
  <si>
    <t>OBZ 76E</t>
  </si>
  <si>
    <t>JAVIER GARCIA</t>
  </si>
  <si>
    <t>BMW 900R</t>
  </si>
  <si>
    <t>OFG 39E</t>
  </si>
  <si>
    <t>CAMILO FUQUEN</t>
  </si>
  <si>
    <t>AJUSTE DE TAPAS</t>
  </si>
  <si>
    <t>ENDEREZAR BARRA</t>
  </si>
  <si>
    <t>INSTALACION DE PESAS</t>
  </si>
  <si>
    <t>DAVID GONZALES</t>
  </si>
  <si>
    <t>EPJ 05G</t>
  </si>
  <si>
    <t>ANDRES FELIPE GUTIERREZ</t>
  </si>
  <si>
    <t>NKD 125</t>
  </si>
  <si>
    <t>YQZ 16G</t>
  </si>
  <si>
    <t>PAULA MARTINEZ</t>
  </si>
  <si>
    <t>MTO DE FRENOS</t>
  </si>
  <si>
    <t>BOMBILLO FAROLA</t>
  </si>
  <si>
    <t>LUBRICAION DE GUAYAS</t>
  </si>
  <si>
    <t>BQV 59E</t>
  </si>
  <si>
    <t>JUAN RUIZ</t>
  </si>
  <si>
    <t>MTO DE BOBINAS Y BUJIAS</t>
  </si>
  <si>
    <t>QJF 99F</t>
  </si>
  <si>
    <t>CORONEL TIUSO</t>
  </si>
  <si>
    <t>MANTENIMEINTO PREVENTIVO</t>
  </si>
  <si>
    <t>FZ 150</t>
  </si>
  <si>
    <t>KRH 42G</t>
  </si>
  <si>
    <t>EDY CORTES</t>
  </si>
  <si>
    <t>CORONA DE ENCENDIDO</t>
  </si>
  <si>
    <t>EMPAQUE</t>
  </si>
  <si>
    <t>FZL 49C</t>
  </si>
  <si>
    <t>FELIPE PEÑA</t>
  </si>
  <si>
    <t>MANO DE OBRA CORONA</t>
  </si>
  <si>
    <t>MANTENIMIENTO DE FRENOS</t>
  </si>
  <si>
    <t>ABZ 40E</t>
  </si>
  <si>
    <t>GERMAN GONZALES</t>
  </si>
  <si>
    <t>ARREGLO 3 BOBINAS</t>
  </si>
  <si>
    <t>CAMBIO DE BARRA</t>
  </si>
  <si>
    <t>MODIFICACION DE EXOSTO</t>
  </si>
  <si>
    <t>PERILLA AMORTIGUADOR</t>
  </si>
  <si>
    <t>FYR 39E</t>
  </si>
  <si>
    <t>NILSON CORREA</t>
  </si>
  <si>
    <t>RODAMIENTO DEL</t>
  </si>
  <si>
    <t>CARRILLO</t>
  </si>
  <si>
    <t>SENSOR RUEDA DELANTERA</t>
  </si>
  <si>
    <t>OQF 29C</t>
  </si>
  <si>
    <t>X MAX</t>
  </si>
  <si>
    <t>T MAX</t>
  </si>
  <si>
    <t>BEF 35G</t>
  </si>
  <si>
    <t>BCF 35G</t>
  </si>
  <si>
    <t>JOHN SANCHEZ</t>
  </si>
  <si>
    <t>SERGIO PEREA</t>
  </si>
  <si>
    <t>INSTALACION DE GUAYA</t>
  </si>
  <si>
    <t>BMW 310R</t>
  </si>
  <si>
    <t>ARREGLO Y PINTURA DE EXOSTO</t>
  </si>
  <si>
    <t>PINTURA TAPA TANQUE</t>
  </si>
  <si>
    <t>ANDRES ALVAREZ</t>
  </si>
  <si>
    <t>GUARDAPOLVOS BARRA</t>
  </si>
  <si>
    <t>MEDIAS BARRAS</t>
  </si>
  <si>
    <t>FJN 63E</t>
  </si>
  <si>
    <t>JUAN QUINTERO</t>
  </si>
  <si>
    <t>BOBINA/CORONA</t>
  </si>
  <si>
    <t>ARREGLO CABLE</t>
  </si>
  <si>
    <t>DAVID</t>
  </si>
  <si>
    <t>CANASTINNA VENDIX</t>
  </si>
  <si>
    <t>MANO DE OBRA VENDIX</t>
  </si>
  <si>
    <t>ARREGLO PIÑON VENDIX</t>
  </si>
  <si>
    <t>ARREGLO PRENSA</t>
  </si>
  <si>
    <t>YNT 33A</t>
  </si>
  <si>
    <t>ANDRES MONCADA</t>
  </si>
  <si>
    <t>SANTIAGO CASTILLO</t>
  </si>
  <si>
    <t>BMW F 750</t>
  </si>
  <si>
    <t>LCQ 87F</t>
  </si>
  <si>
    <t>TORNILLO PESAS</t>
  </si>
  <si>
    <t>BUJE PESA</t>
  </si>
  <si>
    <t>MTO GUAYA DE CLUTCH</t>
  </si>
  <si>
    <t>ERK 46D</t>
  </si>
  <si>
    <t>GIOVANNI BARRERA</t>
  </si>
  <si>
    <t>ARREGLO ROSCAS HELICOIL</t>
  </si>
  <si>
    <t>ODQ 48E</t>
  </si>
  <si>
    <t>MIGUEL GAMBOA</t>
  </si>
  <si>
    <t>EMPAQUE TAPA VOLANTE</t>
  </si>
  <si>
    <t>ODO 11E</t>
  </si>
  <si>
    <t>TRACER</t>
  </si>
  <si>
    <t>ROW 92G</t>
  </si>
  <si>
    <t>ANDREA CARDOZO</t>
  </si>
  <si>
    <t>PASTILLAS DELANTEAS</t>
  </si>
  <si>
    <t>PKH 73E</t>
  </si>
  <si>
    <t>SEÑOR CARDONA</t>
  </si>
  <si>
    <t>MANTENIMITO DE BARRAS</t>
  </si>
  <si>
    <t>RODAMIENTOS PORTAPLATO</t>
  </si>
  <si>
    <t>RODAMIENTO LLANTA TRASERA</t>
  </si>
  <si>
    <t>PINTURA TAPAS DE MOTOR</t>
  </si>
  <si>
    <t>PINTURA DE MANUBRIO</t>
  </si>
  <si>
    <t>ABONO TAPA Y MEDIDOR</t>
  </si>
  <si>
    <t>DBB 09E</t>
  </si>
  <si>
    <t>MARIO RIAÑO</t>
  </si>
  <si>
    <t xml:space="preserve">VALVULINA </t>
  </si>
  <si>
    <t>FHA 24D</t>
  </si>
  <si>
    <t>FABIO</t>
  </si>
  <si>
    <t>ARREGLO DESLIZADOR DE CADENA</t>
  </si>
  <si>
    <t>JXA 50D</t>
  </si>
  <si>
    <t>LLANTA DELANTERA</t>
  </si>
  <si>
    <t>CB190R</t>
  </si>
  <si>
    <t>JMY 46G</t>
  </si>
  <si>
    <t>EMPAQUETADURA MEDIA</t>
  </si>
  <si>
    <t>MANO DE OBRA RIN</t>
  </si>
  <si>
    <t>MTO MORDAZA TRASERA</t>
  </si>
  <si>
    <t>OCH 72C</t>
  </si>
  <si>
    <t>JUAN CARLOS LOPEZ</t>
  </si>
  <si>
    <t>GUAYAS</t>
  </si>
  <si>
    <t>MTO FILTRO DE AIRE CUERPO Y BUJIAS</t>
  </si>
  <si>
    <t>PULIDA VISOR</t>
  </si>
  <si>
    <t>CRONIC</t>
  </si>
  <si>
    <t>PULSAR NS 200</t>
  </si>
  <si>
    <t>DIG 80H</t>
  </si>
  <si>
    <t>MANIGUETA DE CLUTCH</t>
  </si>
  <si>
    <t>PALANCA DE CAMBIOS</t>
  </si>
  <si>
    <t>JZH 57D</t>
  </si>
  <si>
    <t>RICARDO NIVIA</t>
  </si>
  <si>
    <t>ACEITE HIDDRAULICO</t>
  </si>
  <si>
    <t>JAIME NAVARRO</t>
  </si>
  <si>
    <t>SKID PLATE</t>
  </si>
  <si>
    <t>ARREGLO ELECTRICO</t>
  </si>
  <si>
    <t>GUARDABARRO DELANTERO</t>
  </si>
  <si>
    <t>INSTALACION GUARDABARRO</t>
  </si>
  <si>
    <t>BENELLI</t>
  </si>
  <si>
    <t>LVI 29F</t>
  </si>
  <si>
    <t>NNB 98F</t>
  </si>
  <si>
    <t>POSAPIE</t>
  </si>
  <si>
    <t>JXA 75D</t>
  </si>
  <si>
    <t>EOJ 64G</t>
  </si>
  <si>
    <t>BOTON MTO VENTILADOR</t>
  </si>
  <si>
    <t>PBW 01D</t>
  </si>
  <si>
    <t>SEÑOR ROLANDO</t>
  </si>
  <si>
    <t>OSV 99E</t>
  </si>
  <si>
    <t>FREDY ANDRES CRISTANCHO</t>
  </si>
  <si>
    <t>RECTIFICACION RIN TRASERO</t>
  </si>
  <si>
    <t>GSU 85C</t>
  </si>
  <si>
    <t xml:space="preserve">GSXR </t>
  </si>
  <si>
    <t>MIK 30F</t>
  </si>
  <si>
    <t>JWK 64C</t>
  </si>
  <si>
    <t>EDGAR MURILLO</t>
  </si>
  <si>
    <t>GOQ 99G</t>
  </si>
  <si>
    <t>RAUL</t>
  </si>
  <si>
    <t>JUEGO DE LLANTAS</t>
  </si>
  <si>
    <t>DISCOS DE CLUTCH Y SEPARADORES</t>
  </si>
  <si>
    <t>DCI 51H</t>
  </si>
  <si>
    <t>HUV 79B</t>
  </si>
  <si>
    <t>MTO GENRAL</t>
  </si>
  <si>
    <t>GASOLINA</t>
  </si>
  <si>
    <t>REPARACION PARCIAL</t>
  </si>
  <si>
    <t>EMPAQUE VOLANTE</t>
  </si>
  <si>
    <t>AJUSTE DE DISCO</t>
  </si>
  <si>
    <t>CAUCHO TAPA CLUTCH</t>
  </si>
  <si>
    <t>MENO DE OBRA PRENSA</t>
  </si>
  <si>
    <t>ST</t>
  </si>
  <si>
    <t>PWF 12C</t>
  </si>
  <si>
    <t>REMACHE DISCO</t>
  </si>
  <si>
    <t>1 1/4 MOTUL 7100</t>
  </si>
  <si>
    <t xml:space="preserve">JOHN FREDY </t>
  </si>
  <si>
    <t>CESAR ESCARRAGA</t>
  </si>
  <si>
    <t>FELIPE MORA</t>
  </si>
  <si>
    <t>YJL 20C</t>
  </si>
  <si>
    <t>ESTEBAN</t>
  </si>
  <si>
    <t>OTD 45C</t>
  </si>
  <si>
    <t>JAVIER MARTINEZ</t>
  </si>
  <si>
    <t>QNI 06E</t>
  </si>
  <si>
    <t>DISCO DE FRENO TRAS</t>
  </si>
  <si>
    <t>RODAMIENTOS INSTALADOS</t>
  </si>
  <si>
    <t>INSTALACION DE DISCOS</t>
  </si>
  <si>
    <t>CORRECCION DE FUGA</t>
  </si>
  <si>
    <t>ARREGLO DE EXPLORADORA</t>
  </si>
  <si>
    <t>GIOVANNY BARRERA</t>
  </si>
  <si>
    <t>OET 69D</t>
  </si>
  <si>
    <t>JORGE</t>
  </si>
  <si>
    <t>COCUYOS LED</t>
  </si>
  <si>
    <t>OYN 21D</t>
  </si>
  <si>
    <t>CARLOS PERDOMO</t>
  </si>
  <si>
    <t>DNS 30F</t>
  </si>
  <si>
    <t>CARLOS ARIAS</t>
  </si>
  <si>
    <t>JORGE PINILLA</t>
  </si>
  <si>
    <t>ACEITE DE MOTOR</t>
  </si>
  <si>
    <t>PULIDA DE VISOR</t>
  </si>
  <si>
    <t>REINSTALACION DE SIRENA</t>
  </si>
  <si>
    <t>SOLDADURA MANIGUETA</t>
  </si>
  <si>
    <t>PMB 29E</t>
  </si>
  <si>
    <t>MILTON VIRVIESCAS</t>
  </si>
  <si>
    <t>CAMBIO DE ACEIRE</t>
  </si>
  <si>
    <t>FILTRO DE ACEITE}</t>
  </si>
  <si>
    <t>DEPURACION DE ABS</t>
  </si>
  <si>
    <t>ARREGLO GUARDABARRO</t>
  </si>
  <si>
    <t>NICOLAS ALBARRACIN</t>
  </si>
  <si>
    <t>TORNADO</t>
  </si>
  <si>
    <t>BSK 66</t>
  </si>
  <si>
    <t>DIEGO TIENDA</t>
  </si>
  <si>
    <t>VENDIX</t>
  </si>
  <si>
    <t>MTO MOTOR DE ARRANTE</t>
  </si>
  <si>
    <t>YQD 96D</t>
  </si>
  <si>
    <t>BLANCO/AZUL</t>
  </si>
  <si>
    <t>CRISTIAN PACHON</t>
  </si>
  <si>
    <t>ARREGLO SOLDADURA DE PARRILLA</t>
  </si>
  <si>
    <t>BUJES DE MENSULA</t>
  </si>
  <si>
    <t>DESCUENTO EXPLORADOREAS</t>
  </si>
  <si>
    <t>XHK 04A</t>
  </si>
  <si>
    <t>JOAQUIN SALINAS</t>
  </si>
  <si>
    <t>TAMBOR DE CLUTCH</t>
  </si>
  <si>
    <t>EMPAQUE TAPA CLUTCH</t>
  </si>
  <si>
    <t>CORTAR CADENA</t>
  </si>
  <si>
    <t>DUKE</t>
  </si>
  <si>
    <t>ACF 34H</t>
  </si>
  <si>
    <t>SV 650</t>
  </si>
  <si>
    <t>VNI 10F</t>
  </si>
  <si>
    <t>FILTRO DE ACITE</t>
  </si>
  <si>
    <t>JDL 29C</t>
  </si>
  <si>
    <t>SANTIAGO ORTIZ</t>
  </si>
  <si>
    <t>LUZ</t>
  </si>
  <si>
    <t>QDS 23E</t>
  </si>
  <si>
    <t>FELIPE LEDESMA</t>
  </si>
  <si>
    <t>BRILLO DE EXOSTO</t>
  </si>
  <si>
    <t>DEPURACION</t>
  </si>
  <si>
    <t>CORRECCION FUGA CKP</t>
  </si>
  <si>
    <t>BUJES Y TORNILLOS DE VISOR</t>
  </si>
  <si>
    <t>BUJES Y TORNILLO SOPORTE EXPLORADORAS</t>
  </si>
  <si>
    <t>ARREGLO PROTECTOR DE TAPON</t>
  </si>
  <si>
    <t>MTO BARRA IZQ Y ACEITE</t>
  </si>
  <si>
    <t>Z 800</t>
  </si>
  <si>
    <t xml:space="preserve">LLANTA </t>
  </si>
  <si>
    <t>RODAMIENTO PORTAPLATO</t>
  </si>
  <si>
    <t>CAMBIO DE RODAMIENTO</t>
  </si>
  <si>
    <t>QCS 01E</t>
  </si>
  <si>
    <t>ANDREA</t>
  </si>
  <si>
    <t>EXTRACCION Y MANO DE OBRA</t>
  </si>
  <si>
    <t>2 TORNILLOS</t>
  </si>
  <si>
    <t>MEDIAS DE BARRAS</t>
  </si>
  <si>
    <t>UCZ 54G</t>
  </si>
  <si>
    <t>JJH 06D</t>
  </si>
  <si>
    <t>JSH 06D</t>
  </si>
  <si>
    <t>CAMILO SUA</t>
  </si>
  <si>
    <t>MTO MANIGUETA DE CLUTCH</t>
  </si>
  <si>
    <t>BOMBILLOS FAROLA</t>
  </si>
  <si>
    <t>SISTEMA DE CARGA</t>
  </si>
  <si>
    <t>TOTLA:</t>
  </si>
  <si>
    <t>Z 1000</t>
  </si>
  <si>
    <t>AWK 62D</t>
  </si>
  <si>
    <t>MANO DE OBRA MOPTOR</t>
  </si>
  <si>
    <t xml:space="preserve">DISCOS </t>
  </si>
  <si>
    <t>SEPARADORES</t>
  </si>
  <si>
    <t>BMW F 900</t>
  </si>
  <si>
    <t>OEX 56E</t>
  </si>
  <si>
    <t>JOHN</t>
  </si>
  <si>
    <t>CALIBRACION Y SENTADAD E VALVULAS</t>
  </si>
  <si>
    <t>MANODE OBRA</t>
  </si>
  <si>
    <t>PDD 60C</t>
  </si>
  <si>
    <t>SEBASTIAN MURCIA</t>
  </si>
  <si>
    <t>CORTE DE CADENA</t>
  </si>
  <si>
    <t>4 RADIOS</t>
  </si>
  <si>
    <t>BOMBILLOS LED</t>
  </si>
  <si>
    <t>CABLEADO CORTO</t>
  </si>
  <si>
    <t>JXR 94C</t>
  </si>
  <si>
    <t>SOLDADURA DE TIJERA</t>
  </si>
  <si>
    <t>BUJES DE TIJERA</t>
  </si>
  <si>
    <t>GOD 88C</t>
  </si>
  <si>
    <t>DAVID SANDOVAL</t>
  </si>
  <si>
    <t>ABS</t>
  </si>
  <si>
    <t>PINTURA TPAS DE MOTOR</t>
  </si>
  <si>
    <t>GSX S 15</t>
  </si>
  <si>
    <t>SCG 07F</t>
  </si>
  <si>
    <t>NICOLAS CAMACHO</t>
  </si>
  <si>
    <t>LUZ DE PLACA</t>
  </si>
  <si>
    <t>INSTALACIOON LUZ PLACA</t>
  </si>
  <si>
    <t xml:space="preserve">DUCATI </t>
  </si>
  <si>
    <t>OFI 49E</t>
  </si>
  <si>
    <t>GUILLERMO MARTINES</t>
  </si>
  <si>
    <t>ARREGLO VENTILADOR</t>
  </si>
  <si>
    <t>DUCATI DESERT</t>
  </si>
  <si>
    <t>ODA 38G</t>
  </si>
  <si>
    <t>ENDEREZAR COLA</t>
  </si>
  <si>
    <t>ENDEREZAR PEDAL DE FRENO</t>
  </si>
  <si>
    <t>CAMBIO DE PLACA</t>
  </si>
  <si>
    <t>ZXH 72D</t>
  </si>
  <si>
    <t>MONTY</t>
  </si>
  <si>
    <t>MANO DE OBRA DISCOS</t>
  </si>
  <si>
    <t xml:space="preserve">MTO RODAMIENTOS </t>
  </si>
  <si>
    <t>DIRECCIONALES</t>
  </si>
  <si>
    <t>PANEL LATERAL</t>
  </si>
  <si>
    <t>MTO BARRAS</t>
  </si>
  <si>
    <t>AXL 47D</t>
  </si>
  <si>
    <t>ALEJANDRO ALVAREZ</t>
  </si>
  <si>
    <t>ACEITE LLEVAR</t>
  </si>
  <si>
    <t>PASTILLAS LLEVAR</t>
  </si>
  <si>
    <t>ADG 89F</t>
  </si>
  <si>
    <t>PUERTO USB</t>
  </si>
  <si>
    <t>DUCATI V4</t>
  </si>
  <si>
    <t>LEONARDO VELASQUEZ</t>
  </si>
  <si>
    <t>PILA CONTROL</t>
  </si>
  <si>
    <t>INSTALACION POSAPIE</t>
  </si>
  <si>
    <t>INSTALACION DE COSAS</t>
  </si>
  <si>
    <t>DEB 35C</t>
  </si>
  <si>
    <t>DAVID VARGAS</t>
  </si>
  <si>
    <t>CINCADO DE RADIOS</t>
  </si>
  <si>
    <t>PINTURA DE RINES</t>
  </si>
  <si>
    <t>ENRADIADO Y DESENRADIADO</t>
  </si>
  <si>
    <t>PINTURA DE BARRAS</t>
  </si>
  <si>
    <t>VPN 14E</t>
  </si>
  <si>
    <t>INSTALACION DIRECCIONALES</t>
  </si>
  <si>
    <t>PRENSA Y DISCOS</t>
  </si>
  <si>
    <t>PINTURA MANIJAS</t>
  </si>
  <si>
    <t>QBX 66E</t>
  </si>
  <si>
    <t>SOLDADURA MARIPOSA</t>
  </si>
  <si>
    <t>CBC 71C</t>
  </si>
  <si>
    <t>VICTOR SANTANA</t>
  </si>
  <si>
    <t>SILLAS</t>
  </si>
  <si>
    <t>GSXS 750</t>
  </si>
  <si>
    <t>RNN 27F</t>
  </si>
  <si>
    <t>JSQ 23D</t>
  </si>
  <si>
    <t>EDSON VIASUS</t>
  </si>
  <si>
    <t>OAS</t>
  </si>
  <si>
    <t>DANIEL</t>
  </si>
  <si>
    <t>CORREGIR CKP</t>
  </si>
  <si>
    <t>MTO DE LLANTA</t>
  </si>
  <si>
    <t>MT 07</t>
  </si>
  <si>
    <t>AEG 60E</t>
  </si>
  <si>
    <t>KEVIN RIVERA</t>
  </si>
  <si>
    <t>TPV 70E</t>
  </si>
  <si>
    <t>DANIEL BASTIDAS</t>
  </si>
  <si>
    <t>INSTALACION DE LLANTAS}</t>
  </si>
  <si>
    <t>JOZ 70D</t>
  </si>
  <si>
    <t>GUILLERMO BRAVO</t>
  </si>
  <si>
    <t>CROSTURER</t>
  </si>
  <si>
    <t>DCX 07E</t>
  </si>
  <si>
    <t>TENSOR DE CADENILLA MANUAL</t>
  </si>
  <si>
    <t>LUBRICANTE DE CADENA</t>
  </si>
  <si>
    <t>CAMILO MANRIQUE</t>
  </si>
  <si>
    <t>DANIEL MORENO</t>
  </si>
  <si>
    <t>JUAN DAVID PRIETO</t>
  </si>
  <si>
    <t>BILLY GOMEZ</t>
  </si>
  <si>
    <t>SANTIAGO CSTILLO</t>
  </si>
  <si>
    <t>NICOLAS</t>
  </si>
  <si>
    <t>PEDRO ISAZA</t>
  </si>
  <si>
    <t>FAZER 1000</t>
  </si>
  <si>
    <t>CCX 60B</t>
  </si>
  <si>
    <t>ESTEBAN LEON</t>
  </si>
  <si>
    <t>CAMBIO DE CADENILLA</t>
  </si>
  <si>
    <t>DESMONTE Y MONTAJE DE MOTOR</t>
  </si>
  <si>
    <t>UEY 88D</t>
  </si>
  <si>
    <t>JUAN PABLO DUARTE</t>
  </si>
  <si>
    <t>MSS 64E</t>
  </si>
  <si>
    <t>JESUS RODRIGUEZ</t>
  </si>
  <si>
    <t>CAMBIO DISCOS DE CLUTCH</t>
  </si>
  <si>
    <t>ARREGLO TAPA PRENSA</t>
  </si>
  <si>
    <t>ARREGLO ARBOLES DE LEVAS</t>
  </si>
  <si>
    <t>ORJ 76C</t>
  </si>
  <si>
    <t>SERGIO PINZON</t>
  </si>
  <si>
    <t>1 BOBINA DE SEGUNDA</t>
  </si>
  <si>
    <t>1 BUJIA</t>
  </si>
  <si>
    <t>TMI 11G</t>
  </si>
  <si>
    <t>DIEGO PEÑUELA</t>
  </si>
  <si>
    <t>VSTROM 1000</t>
  </si>
  <si>
    <t>MJL 22F</t>
  </si>
  <si>
    <t>CARLOS</t>
  </si>
  <si>
    <t>CHY 18C</t>
  </si>
  <si>
    <t>JOHAN QUIROGA</t>
  </si>
  <si>
    <t>XGN 10H</t>
  </si>
  <si>
    <t>ELVER MOGOLLON</t>
  </si>
  <si>
    <t>ODD 11E</t>
  </si>
  <si>
    <t>SAIR</t>
  </si>
  <si>
    <t>CAMBIO SENSOR DE CLUTCH</t>
  </si>
  <si>
    <t>AJUSTE GUAYA DE CLUTCH</t>
  </si>
  <si>
    <t>TVS RIDER</t>
  </si>
  <si>
    <t>XGJ 56G</t>
  </si>
  <si>
    <t>VIVIAN MARTINEZ</t>
  </si>
  <si>
    <t>JYA 49D</t>
  </si>
  <si>
    <t>WILMER CARO</t>
  </si>
  <si>
    <t>REVISAR DISCO TRASERO</t>
  </si>
  <si>
    <t>REVISAR LIQUIDOS</t>
  </si>
  <si>
    <t>CORREGIR FUGA</t>
  </si>
  <si>
    <t>STEVENSON GARCIA</t>
  </si>
  <si>
    <t>CORRECCION FUGA CARDAN</t>
  </si>
  <si>
    <t>JWJ 70E</t>
  </si>
  <si>
    <t>RONALD RIVERA</t>
  </si>
  <si>
    <t>ACOMODAR MANUBRIO</t>
  </si>
  <si>
    <t>TORNILLO DE FRENO</t>
  </si>
  <si>
    <t>JESUS</t>
  </si>
  <si>
    <t>QDM 23E</t>
  </si>
  <si>
    <t>JORGE ORTEGON</t>
  </si>
  <si>
    <t>REVISAR FUGA EN EL FILTRO</t>
  </si>
  <si>
    <t xml:space="preserve">GIXXER </t>
  </si>
  <si>
    <t>YIT 44F</t>
  </si>
  <si>
    <t>ANDRES GUERRERO</t>
  </si>
  <si>
    <t>SCANNER</t>
  </si>
  <si>
    <t>REVISAR BATERIA</t>
  </si>
  <si>
    <t xml:space="preserve">LUZ ALUMBRA PLACA </t>
  </si>
  <si>
    <t>MARLON JIMENEZ</t>
  </si>
  <si>
    <t>REVISAR FRENOS</t>
  </si>
  <si>
    <t>OLC 78B</t>
  </si>
  <si>
    <t>OMAR VARGAS</t>
  </si>
  <si>
    <t>FILTROS</t>
  </si>
  <si>
    <t>SOLDADURA PARRILLO</t>
  </si>
  <si>
    <t>BENELLI 180</t>
  </si>
  <si>
    <t>ALEXANDER MUÑOZ</t>
  </si>
  <si>
    <t>TORNILLO EXOSTO</t>
  </si>
  <si>
    <t>YTQ 91F</t>
  </si>
  <si>
    <t>ERIC VILLACORTE</t>
  </si>
  <si>
    <t>REVISAR CUNAS</t>
  </si>
  <si>
    <t>NIVELAR DE ACEITE</t>
  </si>
  <si>
    <t>OFD 44D</t>
  </si>
  <si>
    <t>CRISTIAN DIAZ</t>
  </si>
  <si>
    <t>ARREGLO DE CORTO</t>
  </si>
  <si>
    <t>VSTROM 250</t>
  </si>
  <si>
    <t>FSK 49H</t>
  </si>
  <si>
    <t>BRANDON VILLACORTE</t>
  </si>
  <si>
    <t>TIGER 1200</t>
  </si>
  <si>
    <t>CAMILA SUAREZ</t>
  </si>
  <si>
    <t>REVISION SISTEMA ELECTRICO</t>
  </si>
  <si>
    <t>CAMBIO DE GUARDAS</t>
  </si>
  <si>
    <t>CAMBIO DE AXOSTO</t>
  </si>
  <si>
    <t>LUBRICAR ACELERADOR</t>
  </si>
  <si>
    <t>KRH 49G</t>
  </si>
  <si>
    <t>REVISAR CHECK ENGINE</t>
  </si>
  <si>
    <t xml:space="preserve">NKD </t>
  </si>
  <si>
    <t>BQO 93G</t>
  </si>
  <si>
    <t>ANDRES TENJO</t>
  </si>
  <si>
    <t>LAINA KIT DE ARRASTRE</t>
  </si>
  <si>
    <t>VKL 99D</t>
  </si>
  <si>
    <t>CAMILO RUBIO</t>
  </si>
  <si>
    <t>TAPON DE TIJERA</t>
  </si>
  <si>
    <t>REVISAR DISCOS DE CLUTCH</t>
  </si>
  <si>
    <t>REVISAR GUAYA DE CLUTCH</t>
  </si>
  <si>
    <t>REVISAR SENSOR DE GASOLINA</t>
  </si>
  <si>
    <t>CYY 45E</t>
  </si>
  <si>
    <t>CAMILO</t>
  </si>
  <si>
    <t>ACEITE CARDAN</t>
  </si>
  <si>
    <t xml:space="preserve">VESPA </t>
  </si>
  <si>
    <t>EFV 24F</t>
  </si>
  <si>
    <t>JULIAN PERDOMO</t>
  </si>
  <si>
    <t>ARREGLO DE TAPAS</t>
  </si>
  <si>
    <t>PKH 72E</t>
  </si>
  <si>
    <t>ARBEY CARDONA</t>
  </si>
  <si>
    <t>DAQ 64E</t>
  </si>
  <si>
    <t>ANDRES JOYA</t>
  </si>
  <si>
    <t>REVISAR PEDAL DE CAMBIOS</t>
  </si>
  <si>
    <t>MCW 62F</t>
  </si>
  <si>
    <t>GUILLERMO URREGO</t>
  </si>
  <si>
    <t>CAMBIO DE ACEITE 10 50</t>
  </si>
  <si>
    <t>ARREGLO FUGA</t>
  </si>
  <si>
    <t>ESD 71E</t>
  </si>
  <si>
    <t>DIEGO MONTOYA</t>
  </si>
  <si>
    <t>CUADRAR BOMBA DE FRENO</t>
  </si>
  <si>
    <t>BMW F 800</t>
  </si>
  <si>
    <t>DBF 15E</t>
  </si>
  <si>
    <t>CARLOS RUIZ</t>
  </si>
  <si>
    <t>PINTURA ELECTROSTATICA</t>
  </si>
  <si>
    <t xml:space="preserve">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</si>
</sst>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41" fontId="2" fillId="2" borderId="1" xfId="2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top"/>
    </xf>
    <xf numFmtId="14" fontId="0" fillId="0" borderId="0" xfId="0" applyNumberFormat="1"/>
    <xf numFmtId="164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0" xfId="0" applyNumberFormat="1"/>
    <xf numFmtId="0" fontId="2" fillId="0" borderId="0" xfId="0" applyFont="1"/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01"/>
  <sheetViews>
    <sheetView tabSelected="1" topLeftCell="A479" zoomScale="120" zoomScaleNormal="120" workbookViewId="0">
      <selection activeCell="C460" sqref="C460"/>
    </sheetView>
  </sheetViews>
  <sheetFormatPr baseColWidth="10" defaultRowHeight="15" x14ac:dyDescent="0.25"/>
  <cols>
    <col min="1" max="1" width="11.7109375" customWidth="1"/>
    <col min="2" max="2" width="14.5703125" customWidth="1"/>
    <col min="4" max="4" width="15" customWidth="1"/>
    <col min="6" max="6" width="11.42578125" style="6"/>
    <col min="7" max="7" width="26.5703125" customWidth="1"/>
    <col min="8" max="8" width="13.5703125" customWidth="1"/>
    <col min="9" max="9" width="39.7109375" customWidth="1"/>
    <col min="10" max="10" width="14.140625" style="6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3" t="s">
        <v>10</v>
      </c>
      <c r="L1" s="2" t="s">
        <v>9</v>
      </c>
    </row>
    <row r="2" spans="1:12" x14ac:dyDescent="0.25">
      <c r="A2" s="5">
        <v>45901</v>
      </c>
      <c r="B2" t="s">
        <v>175</v>
      </c>
      <c r="C2" t="s">
        <v>176</v>
      </c>
      <c r="D2" t="s">
        <v>25</v>
      </c>
      <c r="E2">
        <v>2021</v>
      </c>
      <c r="G2" t="s">
        <v>177</v>
      </c>
      <c r="H2">
        <v>3172333556</v>
      </c>
      <c r="I2" t="s">
        <v>178</v>
      </c>
    </row>
    <row r="4" spans="1:12" x14ac:dyDescent="0.25">
      <c r="I4" t="s">
        <v>22</v>
      </c>
    </row>
    <row r="6" spans="1:12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2" t="s">
        <v>5</v>
      </c>
      <c r="G6" s="3" t="s">
        <v>6</v>
      </c>
      <c r="H6" s="3" t="s">
        <v>7</v>
      </c>
      <c r="I6" s="4" t="s">
        <v>8</v>
      </c>
      <c r="J6" s="2" t="s">
        <v>9</v>
      </c>
      <c r="K6" s="3" t="s">
        <v>10</v>
      </c>
      <c r="L6" s="2" t="s">
        <v>9</v>
      </c>
    </row>
    <row r="7" spans="1:12" x14ac:dyDescent="0.25">
      <c r="A7" s="5">
        <v>45901</v>
      </c>
      <c r="B7" t="s">
        <v>780</v>
      </c>
      <c r="C7" t="s">
        <v>781</v>
      </c>
      <c r="D7" t="s">
        <v>25</v>
      </c>
      <c r="G7" t="s">
        <v>782</v>
      </c>
      <c r="I7" t="s">
        <v>783</v>
      </c>
    </row>
    <row r="9" spans="1:12" x14ac:dyDescent="0.25">
      <c r="I9" t="s">
        <v>784</v>
      </c>
    </row>
    <row r="11" spans="1:12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2" t="s">
        <v>5</v>
      </c>
      <c r="G11" s="3" t="s">
        <v>6</v>
      </c>
      <c r="H11" s="3" t="s">
        <v>7</v>
      </c>
      <c r="I11" s="4" t="s">
        <v>8</v>
      </c>
      <c r="J11" s="2" t="s">
        <v>9</v>
      </c>
      <c r="K11" s="3" t="s">
        <v>10</v>
      </c>
      <c r="L11" s="2" t="s">
        <v>9</v>
      </c>
    </row>
    <row r="12" spans="1:12" x14ac:dyDescent="0.25">
      <c r="A12" s="5">
        <v>45901</v>
      </c>
      <c r="B12" t="s">
        <v>11</v>
      </c>
      <c r="C12" t="s">
        <v>30</v>
      </c>
      <c r="D12" t="s">
        <v>12</v>
      </c>
      <c r="G12" t="s">
        <v>13</v>
      </c>
      <c r="I12" t="s">
        <v>14</v>
      </c>
      <c r="J12" s="6">
        <v>250000</v>
      </c>
    </row>
    <row r="13" spans="1:12" x14ac:dyDescent="0.25">
      <c r="I13" t="s">
        <v>15</v>
      </c>
      <c r="J13" s="6">
        <v>65000</v>
      </c>
    </row>
    <row r="14" spans="1:12" x14ac:dyDescent="0.25">
      <c r="I14" t="s">
        <v>16</v>
      </c>
      <c r="J14" s="6">
        <v>55000</v>
      </c>
    </row>
    <row r="15" spans="1:12" x14ac:dyDescent="0.25">
      <c r="I15" t="s">
        <v>17</v>
      </c>
      <c r="J15" s="6">
        <v>550000</v>
      </c>
    </row>
    <row r="16" spans="1:12" x14ac:dyDescent="0.25">
      <c r="I16" t="s">
        <v>18</v>
      </c>
      <c r="J16" s="6">
        <v>48000</v>
      </c>
    </row>
    <row r="17" spans="1:12" x14ac:dyDescent="0.25">
      <c r="I17" t="s">
        <v>19</v>
      </c>
      <c r="J17" s="6">
        <v>18000</v>
      </c>
    </row>
    <row r="18" spans="1:12" x14ac:dyDescent="0.25">
      <c r="I18" t="s">
        <v>20</v>
      </c>
      <c r="J18" s="6">
        <v>35000</v>
      </c>
    </row>
    <row r="19" spans="1:12" x14ac:dyDescent="0.25">
      <c r="I19" t="s">
        <v>21</v>
      </c>
      <c r="J19" s="6">
        <v>20000</v>
      </c>
    </row>
    <row r="21" spans="1:12" x14ac:dyDescent="0.25">
      <c r="I21" t="s">
        <v>22</v>
      </c>
      <c r="J21" s="6">
        <f>SUM(J12:J20)</f>
        <v>1041000</v>
      </c>
    </row>
    <row r="23" spans="1:12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2" t="s">
        <v>5</v>
      </c>
      <c r="G23" s="3" t="s">
        <v>6</v>
      </c>
      <c r="H23" s="3" t="s">
        <v>7</v>
      </c>
      <c r="I23" s="4" t="s">
        <v>8</v>
      </c>
      <c r="J23" s="2" t="s">
        <v>9</v>
      </c>
      <c r="K23" s="3" t="s">
        <v>10</v>
      </c>
      <c r="L23" s="2" t="s">
        <v>9</v>
      </c>
    </row>
    <row r="24" spans="1:12" x14ac:dyDescent="0.25">
      <c r="A24" s="5">
        <v>45901</v>
      </c>
      <c r="B24" t="s">
        <v>23</v>
      </c>
      <c r="C24" t="s">
        <v>24</v>
      </c>
      <c r="D24" t="s">
        <v>25</v>
      </c>
      <c r="F24" s="6">
        <v>24877</v>
      </c>
      <c r="G24" t="s">
        <v>26</v>
      </c>
      <c r="I24" t="s">
        <v>27</v>
      </c>
    </row>
    <row r="25" spans="1:12" x14ac:dyDescent="0.25">
      <c r="I25" t="s">
        <v>21</v>
      </c>
    </row>
    <row r="26" spans="1:12" x14ac:dyDescent="0.25">
      <c r="I26" t="s">
        <v>28</v>
      </c>
    </row>
    <row r="27" spans="1:12" x14ac:dyDescent="0.25">
      <c r="I27" t="s">
        <v>29</v>
      </c>
    </row>
    <row r="29" spans="1:12" x14ac:dyDescent="0.25">
      <c r="I29" t="s">
        <v>22</v>
      </c>
      <c r="J29" s="6">
        <v>200000</v>
      </c>
    </row>
    <row r="31" spans="1:12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2" t="s">
        <v>5</v>
      </c>
      <c r="G31" s="3" t="s">
        <v>6</v>
      </c>
      <c r="H31" s="3" t="s">
        <v>7</v>
      </c>
      <c r="I31" s="4" t="s">
        <v>8</v>
      </c>
      <c r="J31" s="2" t="s">
        <v>9</v>
      </c>
      <c r="K31" s="3" t="s">
        <v>10</v>
      </c>
      <c r="L31" s="2" t="s">
        <v>9</v>
      </c>
    </row>
    <row r="32" spans="1:12" x14ac:dyDescent="0.25">
      <c r="A32" s="5">
        <v>45901</v>
      </c>
      <c r="B32" t="s">
        <v>31</v>
      </c>
      <c r="C32" t="s">
        <v>32</v>
      </c>
      <c r="D32" t="s">
        <v>25</v>
      </c>
      <c r="E32">
        <v>2022</v>
      </c>
      <c r="F32" s="6">
        <v>16500</v>
      </c>
      <c r="G32" t="s">
        <v>33</v>
      </c>
      <c r="I32" t="s">
        <v>34</v>
      </c>
      <c r="J32" s="6">
        <v>200000</v>
      </c>
    </row>
    <row r="33" spans="1:12" x14ac:dyDescent="0.25">
      <c r="I33" t="s">
        <v>19</v>
      </c>
      <c r="J33" s="6">
        <v>46000</v>
      </c>
    </row>
    <row r="34" spans="1:12" x14ac:dyDescent="0.25">
      <c r="I34" t="s">
        <v>35</v>
      </c>
      <c r="J34" s="6">
        <v>150000</v>
      </c>
    </row>
    <row r="35" spans="1:12" x14ac:dyDescent="0.25">
      <c r="I35" t="s">
        <v>36</v>
      </c>
      <c r="J35" s="6">
        <v>150000</v>
      </c>
    </row>
    <row r="36" spans="1:12" x14ac:dyDescent="0.25">
      <c r="I36" t="s">
        <v>37</v>
      </c>
      <c r="J36" s="6">
        <v>40000</v>
      </c>
    </row>
    <row r="38" spans="1:12" x14ac:dyDescent="0.25">
      <c r="I38" t="s">
        <v>22</v>
      </c>
      <c r="J38" s="6">
        <f>SUM(J32:J37)</f>
        <v>586000</v>
      </c>
    </row>
    <row r="40" spans="1:12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2" t="s">
        <v>5</v>
      </c>
      <c r="G40" s="3" t="s">
        <v>6</v>
      </c>
      <c r="H40" s="3" t="s">
        <v>7</v>
      </c>
      <c r="I40" s="4" t="s">
        <v>8</v>
      </c>
      <c r="J40" s="2" t="s">
        <v>9</v>
      </c>
      <c r="K40" s="3" t="s">
        <v>10</v>
      </c>
      <c r="L40" s="2" t="s">
        <v>9</v>
      </c>
    </row>
    <row r="41" spans="1:12" x14ac:dyDescent="0.25">
      <c r="A41" s="5">
        <v>45902</v>
      </c>
      <c r="B41" t="s">
        <v>38</v>
      </c>
      <c r="C41" t="s">
        <v>168</v>
      </c>
      <c r="D41" t="s">
        <v>25</v>
      </c>
      <c r="G41" t="s">
        <v>39</v>
      </c>
      <c r="I41" t="s">
        <v>40</v>
      </c>
      <c r="J41" s="6">
        <v>350000</v>
      </c>
    </row>
    <row r="42" spans="1:12" x14ac:dyDescent="0.25">
      <c r="I42" t="s">
        <v>41</v>
      </c>
      <c r="J42" s="6">
        <v>228000</v>
      </c>
    </row>
    <row r="43" spans="1:12" x14ac:dyDescent="0.25">
      <c r="I43" t="s">
        <v>42</v>
      </c>
      <c r="J43" s="6">
        <v>150000</v>
      </c>
    </row>
    <row r="44" spans="1:12" x14ac:dyDescent="0.25">
      <c r="I44" t="s">
        <v>21</v>
      </c>
      <c r="J44" s="6">
        <v>22000</v>
      </c>
    </row>
    <row r="46" spans="1:12" x14ac:dyDescent="0.25">
      <c r="I46" t="s">
        <v>22</v>
      </c>
      <c r="J46" s="6">
        <f>SUM(J41:J45)</f>
        <v>750000</v>
      </c>
    </row>
    <row r="48" spans="1:12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2" t="s">
        <v>5</v>
      </c>
      <c r="G48" s="3" t="s">
        <v>6</v>
      </c>
      <c r="H48" s="3" t="s">
        <v>7</v>
      </c>
      <c r="I48" s="4" t="s">
        <v>8</v>
      </c>
      <c r="J48" s="2" t="s">
        <v>9</v>
      </c>
      <c r="K48" s="3" t="s">
        <v>10</v>
      </c>
      <c r="L48" s="2" t="s">
        <v>9</v>
      </c>
    </row>
    <row r="49" spans="1:12" x14ac:dyDescent="0.25">
      <c r="A49" s="5">
        <v>45902</v>
      </c>
      <c r="B49" t="s">
        <v>43</v>
      </c>
      <c r="C49" t="s">
        <v>44</v>
      </c>
      <c r="D49" t="s">
        <v>45</v>
      </c>
      <c r="G49" t="s">
        <v>39</v>
      </c>
      <c r="I49" t="s">
        <v>21</v>
      </c>
      <c r="J49" s="6">
        <v>22000</v>
      </c>
    </row>
    <row r="50" spans="1:12" x14ac:dyDescent="0.25">
      <c r="I50" t="s">
        <v>46</v>
      </c>
      <c r="J50" s="6">
        <v>160000</v>
      </c>
    </row>
    <row r="51" spans="1:12" x14ac:dyDescent="0.25">
      <c r="I51" t="s">
        <v>47</v>
      </c>
      <c r="J51" s="6">
        <v>80000</v>
      </c>
    </row>
    <row r="53" spans="1:12" x14ac:dyDescent="0.25">
      <c r="I53" t="s">
        <v>22</v>
      </c>
      <c r="J53" s="6">
        <f>SUM(J49:J52)</f>
        <v>262000</v>
      </c>
    </row>
    <row r="55" spans="1:12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2" t="s">
        <v>5</v>
      </c>
      <c r="G55" s="3" t="s">
        <v>6</v>
      </c>
      <c r="H55" s="3" t="s">
        <v>7</v>
      </c>
      <c r="I55" s="4" t="s">
        <v>8</v>
      </c>
      <c r="J55" s="2" t="s">
        <v>9</v>
      </c>
      <c r="K55" s="3" t="s">
        <v>10</v>
      </c>
      <c r="L55" s="2" t="s">
        <v>9</v>
      </c>
    </row>
    <row r="56" spans="1:12" x14ac:dyDescent="0.25">
      <c r="A56" s="5">
        <v>45902</v>
      </c>
      <c r="B56" t="s">
        <v>48</v>
      </c>
      <c r="C56" t="s">
        <v>49</v>
      </c>
      <c r="D56" t="s">
        <v>45</v>
      </c>
      <c r="F56" s="6">
        <v>37513</v>
      </c>
      <c r="I56" t="s">
        <v>18</v>
      </c>
      <c r="J56" s="6">
        <v>150000</v>
      </c>
    </row>
    <row r="57" spans="1:12" x14ac:dyDescent="0.25">
      <c r="I57" t="s">
        <v>19</v>
      </c>
      <c r="J57" s="6">
        <v>48000</v>
      </c>
    </row>
    <row r="58" spans="1:12" x14ac:dyDescent="0.25">
      <c r="I58" t="s">
        <v>36</v>
      </c>
      <c r="J58" s="6">
        <v>150000</v>
      </c>
    </row>
    <row r="59" spans="1:12" x14ac:dyDescent="0.25">
      <c r="I59" t="s">
        <v>50</v>
      </c>
      <c r="J59" s="6">
        <v>80000</v>
      </c>
    </row>
    <row r="61" spans="1:12" x14ac:dyDescent="0.25">
      <c r="I61" t="s">
        <v>22</v>
      </c>
      <c r="J61" s="6">
        <f>SUM(J56:J60)</f>
        <v>428000</v>
      </c>
    </row>
    <row r="63" spans="1:12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2" t="s">
        <v>5</v>
      </c>
      <c r="G63" s="3" t="s">
        <v>6</v>
      </c>
      <c r="H63" s="3" t="s">
        <v>7</v>
      </c>
      <c r="I63" s="4" t="s">
        <v>8</v>
      </c>
      <c r="J63" s="2" t="s">
        <v>9</v>
      </c>
      <c r="K63" s="3" t="s">
        <v>10</v>
      </c>
      <c r="L63" s="2" t="s">
        <v>9</v>
      </c>
    </row>
    <row r="64" spans="1:12" x14ac:dyDescent="0.25">
      <c r="A64" s="5">
        <v>45892</v>
      </c>
      <c r="B64" t="s">
        <v>31</v>
      </c>
      <c r="C64" t="s">
        <v>785</v>
      </c>
      <c r="D64" t="s">
        <v>12</v>
      </c>
      <c r="F64" s="6">
        <v>59451</v>
      </c>
      <c r="G64" t="s">
        <v>786</v>
      </c>
      <c r="H64">
        <v>3132343780</v>
      </c>
      <c r="I64" t="s">
        <v>787</v>
      </c>
    </row>
    <row r="66" spans="1:12" x14ac:dyDescent="0.25">
      <c r="I66" t="s">
        <v>22</v>
      </c>
    </row>
    <row r="68" spans="1:12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2" t="s">
        <v>5</v>
      </c>
      <c r="G68" s="3" t="s">
        <v>6</v>
      </c>
      <c r="H68" s="3" t="s">
        <v>7</v>
      </c>
      <c r="I68" s="4" t="s">
        <v>8</v>
      </c>
      <c r="J68" s="2" t="s">
        <v>9</v>
      </c>
      <c r="K68" s="3" t="s">
        <v>10</v>
      </c>
      <c r="L68" s="2" t="s">
        <v>9</v>
      </c>
    </row>
    <row r="69" spans="1:12" x14ac:dyDescent="0.25">
      <c r="A69" s="5">
        <v>45902</v>
      </c>
      <c r="B69" t="s">
        <v>31</v>
      </c>
      <c r="C69" t="s">
        <v>51</v>
      </c>
      <c r="D69" t="s">
        <v>45</v>
      </c>
      <c r="E69">
        <v>2019</v>
      </c>
      <c r="F69" s="6">
        <v>28286</v>
      </c>
      <c r="I69" t="s">
        <v>35</v>
      </c>
      <c r="J69" s="6">
        <v>150000</v>
      </c>
    </row>
    <row r="70" spans="1:12" x14ac:dyDescent="0.25">
      <c r="I70" t="s">
        <v>52</v>
      </c>
      <c r="J70" s="6">
        <v>15000</v>
      </c>
    </row>
    <row r="72" spans="1:12" x14ac:dyDescent="0.25">
      <c r="I72" t="s">
        <v>22</v>
      </c>
      <c r="J72" s="6">
        <f>SUM(J69:J71)</f>
        <v>165000</v>
      </c>
    </row>
    <row r="74" spans="1:12" x14ac:dyDescent="0.2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2" t="s">
        <v>5</v>
      </c>
      <c r="G74" s="3" t="s">
        <v>6</v>
      </c>
      <c r="H74" s="3" t="s">
        <v>7</v>
      </c>
      <c r="I74" s="4" t="s">
        <v>8</v>
      </c>
      <c r="J74" s="2" t="s">
        <v>9</v>
      </c>
      <c r="K74" s="3" t="s">
        <v>10</v>
      </c>
      <c r="L74" s="2" t="s">
        <v>9</v>
      </c>
    </row>
    <row r="75" spans="1:12" x14ac:dyDescent="0.25">
      <c r="A75" s="5">
        <v>45903</v>
      </c>
      <c r="B75" t="s">
        <v>53</v>
      </c>
      <c r="C75" t="s">
        <v>54</v>
      </c>
      <c r="D75" t="s">
        <v>55</v>
      </c>
      <c r="I75" t="s">
        <v>56</v>
      </c>
      <c r="J75" s="6">
        <v>180000</v>
      </c>
    </row>
    <row r="76" spans="1:12" x14ac:dyDescent="0.25">
      <c r="I76" t="s">
        <v>57</v>
      </c>
      <c r="J76" s="6">
        <v>350000</v>
      </c>
    </row>
    <row r="77" spans="1:12" x14ac:dyDescent="0.25">
      <c r="I77" t="s">
        <v>58</v>
      </c>
      <c r="J77" s="6">
        <v>850000</v>
      </c>
    </row>
    <row r="78" spans="1:12" x14ac:dyDescent="0.25">
      <c r="I78" t="s">
        <v>59</v>
      </c>
      <c r="J78" s="6">
        <v>70000</v>
      </c>
    </row>
    <row r="79" spans="1:12" x14ac:dyDescent="0.25">
      <c r="I79" t="s">
        <v>60</v>
      </c>
      <c r="J79" s="6">
        <v>70000</v>
      </c>
    </row>
    <row r="80" spans="1:12" x14ac:dyDescent="0.25">
      <c r="I80" t="s">
        <v>61</v>
      </c>
      <c r="J80" s="6">
        <v>450000</v>
      </c>
    </row>
    <row r="81" spans="1:12" x14ac:dyDescent="0.25">
      <c r="I81" t="s">
        <v>62</v>
      </c>
      <c r="J81" s="6">
        <v>40000</v>
      </c>
    </row>
    <row r="82" spans="1:12" x14ac:dyDescent="0.25">
      <c r="I82" t="s">
        <v>63</v>
      </c>
      <c r="J82" s="6">
        <v>22000</v>
      </c>
    </row>
    <row r="83" spans="1:12" x14ac:dyDescent="0.25">
      <c r="I83" t="s">
        <v>64</v>
      </c>
      <c r="J83" s="6">
        <v>150000</v>
      </c>
    </row>
    <row r="84" spans="1:12" x14ac:dyDescent="0.25">
      <c r="I84" t="s">
        <v>65</v>
      </c>
      <c r="J84" s="6">
        <v>228000</v>
      </c>
    </row>
    <row r="85" spans="1:12" x14ac:dyDescent="0.25">
      <c r="I85" t="s">
        <v>66</v>
      </c>
      <c r="J85" s="6">
        <v>20000</v>
      </c>
    </row>
    <row r="87" spans="1:12" x14ac:dyDescent="0.25">
      <c r="I87" t="s">
        <v>22</v>
      </c>
      <c r="J87" s="6">
        <f>SUM(J75:J86)</f>
        <v>2430000</v>
      </c>
    </row>
    <row r="89" spans="1:12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 t="s">
        <v>4</v>
      </c>
      <c r="F89" s="2" t="s">
        <v>5</v>
      </c>
      <c r="G89" s="3" t="s">
        <v>6</v>
      </c>
      <c r="H89" s="3" t="s">
        <v>7</v>
      </c>
      <c r="I89" s="4" t="s">
        <v>8</v>
      </c>
      <c r="J89" s="2" t="s">
        <v>9</v>
      </c>
      <c r="K89" s="3" t="s">
        <v>10</v>
      </c>
      <c r="L89" s="2" t="s">
        <v>9</v>
      </c>
    </row>
    <row r="90" spans="1:12" x14ac:dyDescent="0.25">
      <c r="A90" s="5">
        <v>45904</v>
      </c>
      <c r="B90" t="s">
        <v>67</v>
      </c>
      <c r="C90" t="s">
        <v>68</v>
      </c>
      <c r="D90" t="s">
        <v>25</v>
      </c>
      <c r="E90">
        <v>2025</v>
      </c>
      <c r="F90" s="6">
        <v>10200</v>
      </c>
      <c r="G90" t="s">
        <v>69</v>
      </c>
      <c r="H90">
        <v>3143221437</v>
      </c>
      <c r="I90" t="s">
        <v>70</v>
      </c>
      <c r="J90" s="6">
        <v>250000</v>
      </c>
    </row>
    <row r="91" spans="1:12" x14ac:dyDescent="0.25">
      <c r="I91" t="s">
        <v>21</v>
      </c>
      <c r="J91" s="6">
        <v>65000</v>
      </c>
    </row>
    <row r="92" spans="1:12" x14ac:dyDescent="0.25">
      <c r="I92" t="s">
        <v>34</v>
      </c>
      <c r="J92" s="6">
        <v>15000</v>
      </c>
    </row>
    <row r="93" spans="1:12" x14ac:dyDescent="0.25">
      <c r="I93" t="s">
        <v>19</v>
      </c>
      <c r="J93" s="6">
        <v>20000</v>
      </c>
    </row>
    <row r="94" spans="1:12" x14ac:dyDescent="0.25">
      <c r="I94" t="s">
        <v>71</v>
      </c>
      <c r="J94" s="6">
        <v>25000</v>
      </c>
    </row>
    <row r="95" spans="1:12" x14ac:dyDescent="0.25">
      <c r="I95" t="s">
        <v>21</v>
      </c>
    </row>
    <row r="97" spans="1:12" x14ac:dyDescent="0.25">
      <c r="I97" t="s">
        <v>22</v>
      </c>
      <c r="J97" s="6">
        <f>SUM(J90:J96)</f>
        <v>375000</v>
      </c>
    </row>
    <row r="99" spans="1:12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2" t="s">
        <v>5</v>
      </c>
      <c r="G99" s="3" t="s">
        <v>6</v>
      </c>
      <c r="H99" s="3" t="s">
        <v>7</v>
      </c>
      <c r="I99" s="4" t="s">
        <v>8</v>
      </c>
      <c r="J99" s="2" t="s">
        <v>9</v>
      </c>
      <c r="K99" s="3" t="s">
        <v>10</v>
      </c>
      <c r="L99" s="2" t="s">
        <v>9</v>
      </c>
    </row>
    <row r="100" spans="1:12" x14ac:dyDescent="0.25">
      <c r="A100" s="5">
        <v>45904</v>
      </c>
      <c r="B100" t="s">
        <v>78</v>
      </c>
      <c r="C100" t="s">
        <v>79</v>
      </c>
      <c r="D100" t="s">
        <v>25</v>
      </c>
      <c r="E100">
        <v>2008</v>
      </c>
      <c r="F100" s="6">
        <v>133407</v>
      </c>
      <c r="G100" t="s">
        <v>80</v>
      </c>
      <c r="H100">
        <v>3133970943</v>
      </c>
      <c r="I100" t="s">
        <v>81</v>
      </c>
    </row>
    <row r="101" spans="1:12" x14ac:dyDescent="0.25">
      <c r="I101" t="s">
        <v>82</v>
      </c>
    </row>
    <row r="102" spans="1:12" x14ac:dyDescent="0.25">
      <c r="I102" t="s">
        <v>21</v>
      </c>
    </row>
    <row r="104" spans="1:12" x14ac:dyDescent="0.25">
      <c r="I104" t="s">
        <v>22</v>
      </c>
      <c r="J104" s="6">
        <v>640000</v>
      </c>
    </row>
    <row r="106" spans="1:12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2" t="s">
        <v>5</v>
      </c>
      <c r="G106" s="3" t="s">
        <v>6</v>
      </c>
      <c r="H106" s="3" t="s">
        <v>7</v>
      </c>
      <c r="I106" s="4" t="s">
        <v>8</v>
      </c>
      <c r="J106" s="2" t="s">
        <v>9</v>
      </c>
      <c r="K106" s="3" t="s">
        <v>10</v>
      </c>
      <c r="L106" s="2" t="s">
        <v>9</v>
      </c>
    </row>
    <row r="107" spans="1:12" x14ac:dyDescent="0.25">
      <c r="A107" s="5">
        <v>45904</v>
      </c>
      <c r="B107" t="s">
        <v>83</v>
      </c>
      <c r="C107" t="s">
        <v>84</v>
      </c>
      <c r="D107" t="s">
        <v>12</v>
      </c>
      <c r="E107">
        <v>2009</v>
      </c>
      <c r="F107" s="6">
        <v>50239</v>
      </c>
      <c r="G107" t="s">
        <v>85</v>
      </c>
      <c r="H107">
        <v>3123175880</v>
      </c>
      <c r="I107" t="s">
        <v>86</v>
      </c>
      <c r="J107" s="6">
        <v>40000</v>
      </c>
    </row>
    <row r="108" spans="1:12" x14ac:dyDescent="0.25">
      <c r="I108" t="s">
        <v>87</v>
      </c>
      <c r="J108" s="6">
        <v>80000</v>
      </c>
    </row>
    <row r="109" spans="1:12" x14ac:dyDescent="0.25">
      <c r="I109" t="s">
        <v>88</v>
      </c>
      <c r="J109" s="6">
        <v>80000</v>
      </c>
    </row>
    <row r="110" spans="1:12" x14ac:dyDescent="0.25">
      <c r="I110" t="s">
        <v>89</v>
      </c>
      <c r="J110" s="6">
        <v>80000</v>
      </c>
    </row>
    <row r="111" spans="1:12" x14ac:dyDescent="0.25">
      <c r="I111" t="s">
        <v>90</v>
      </c>
      <c r="J111" s="6">
        <v>180000</v>
      </c>
    </row>
    <row r="113" spans="1:12" x14ac:dyDescent="0.25">
      <c r="I113" t="s">
        <v>22</v>
      </c>
      <c r="J113" s="6">
        <f>SUM(J107:J112)</f>
        <v>460000</v>
      </c>
    </row>
    <row r="115" spans="1:12" x14ac:dyDescent="0.25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4</v>
      </c>
      <c r="F115" s="2" t="s">
        <v>5</v>
      </c>
      <c r="G115" s="3" t="s">
        <v>6</v>
      </c>
      <c r="H115" s="3" t="s">
        <v>7</v>
      </c>
      <c r="I115" s="4" t="s">
        <v>8</v>
      </c>
      <c r="J115" s="2" t="s">
        <v>9</v>
      </c>
      <c r="K115" s="3" t="s">
        <v>10</v>
      </c>
      <c r="L115" s="2" t="s">
        <v>9</v>
      </c>
    </row>
    <row r="116" spans="1:12" x14ac:dyDescent="0.25">
      <c r="A116" s="5">
        <v>45904</v>
      </c>
      <c r="B116" t="s">
        <v>91</v>
      </c>
      <c r="C116" t="s">
        <v>92</v>
      </c>
      <c r="D116" t="s">
        <v>45</v>
      </c>
      <c r="G116" t="s">
        <v>93</v>
      </c>
      <c r="H116">
        <v>3182092425</v>
      </c>
      <c r="I116" t="s">
        <v>94</v>
      </c>
      <c r="J116" s="6">
        <v>350000</v>
      </c>
    </row>
    <row r="117" spans="1:12" x14ac:dyDescent="0.25">
      <c r="I117" t="s">
        <v>95</v>
      </c>
    </row>
    <row r="118" spans="1:12" x14ac:dyDescent="0.25">
      <c r="I118" t="s">
        <v>96</v>
      </c>
      <c r="J118" s="6">
        <v>30000</v>
      </c>
    </row>
    <row r="119" spans="1:12" x14ac:dyDescent="0.25">
      <c r="I119" t="s">
        <v>34</v>
      </c>
      <c r="J119" s="6">
        <v>135000</v>
      </c>
    </row>
    <row r="120" spans="1:12" x14ac:dyDescent="0.25">
      <c r="I120" t="s">
        <v>19</v>
      </c>
      <c r="J120" s="6">
        <v>30000</v>
      </c>
    </row>
    <row r="121" spans="1:12" x14ac:dyDescent="0.25">
      <c r="I121" t="s">
        <v>61</v>
      </c>
      <c r="J121" s="6">
        <v>40000</v>
      </c>
    </row>
    <row r="122" spans="1:12" x14ac:dyDescent="0.25">
      <c r="I122" t="s">
        <v>21</v>
      </c>
      <c r="J122" s="6">
        <v>25000</v>
      </c>
    </row>
    <row r="124" spans="1:12" x14ac:dyDescent="0.25">
      <c r="I124" t="s">
        <v>22</v>
      </c>
      <c r="J124" s="6">
        <f>SUM(J116:J123)</f>
        <v>610000</v>
      </c>
    </row>
    <row r="126" spans="1:12" x14ac:dyDescent="0.25">
      <c r="A126" s="1" t="s">
        <v>0</v>
      </c>
      <c r="B126" s="1" t="s">
        <v>1</v>
      </c>
      <c r="C126" s="1" t="s">
        <v>2</v>
      </c>
      <c r="D126" s="1" t="s">
        <v>3</v>
      </c>
      <c r="E126" s="1" t="s">
        <v>4</v>
      </c>
      <c r="F126" s="2" t="s">
        <v>5</v>
      </c>
      <c r="G126" s="3" t="s">
        <v>6</v>
      </c>
      <c r="H126" s="3" t="s">
        <v>7</v>
      </c>
      <c r="I126" s="4" t="s">
        <v>8</v>
      </c>
      <c r="J126" s="2" t="s">
        <v>9</v>
      </c>
      <c r="K126" s="3" t="s">
        <v>10</v>
      </c>
      <c r="L126" s="2" t="s">
        <v>9</v>
      </c>
    </row>
    <row r="127" spans="1:12" x14ac:dyDescent="0.25">
      <c r="A127" s="5">
        <v>45904</v>
      </c>
      <c r="B127" t="s">
        <v>169</v>
      </c>
      <c r="C127" t="s">
        <v>170</v>
      </c>
      <c r="D127" t="s">
        <v>138</v>
      </c>
      <c r="E127">
        <v>2024</v>
      </c>
      <c r="F127" s="6">
        <v>7480</v>
      </c>
      <c r="G127" t="s">
        <v>171</v>
      </c>
      <c r="H127">
        <v>3152089832</v>
      </c>
      <c r="I127" t="s">
        <v>172</v>
      </c>
    </row>
    <row r="128" spans="1:12" x14ac:dyDescent="0.25">
      <c r="I128" t="s">
        <v>173</v>
      </c>
    </row>
    <row r="129" spans="1:12" x14ac:dyDescent="0.25">
      <c r="I129" t="s">
        <v>174</v>
      </c>
    </row>
    <row r="131" spans="1:12" x14ac:dyDescent="0.25">
      <c r="I131" t="s">
        <v>22</v>
      </c>
    </row>
    <row r="133" spans="1:12" x14ac:dyDescent="0.25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2" t="s">
        <v>5</v>
      </c>
      <c r="G133" s="3" t="s">
        <v>6</v>
      </c>
      <c r="H133" s="3" t="s">
        <v>7</v>
      </c>
      <c r="I133" s="4" t="s">
        <v>8</v>
      </c>
      <c r="J133" s="2" t="s">
        <v>9</v>
      </c>
      <c r="K133" s="3" t="s">
        <v>10</v>
      </c>
      <c r="L133" s="2" t="s">
        <v>9</v>
      </c>
    </row>
    <row r="134" spans="1:12" x14ac:dyDescent="0.25">
      <c r="A134" s="5">
        <v>45905</v>
      </c>
      <c r="B134" t="s">
        <v>78</v>
      </c>
      <c r="C134" t="s">
        <v>97</v>
      </c>
      <c r="D134" t="s">
        <v>98</v>
      </c>
      <c r="E134">
        <v>2020</v>
      </c>
      <c r="F134" s="6">
        <v>40731</v>
      </c>
      <c r="G134" t="s">
        <v>99</v>
      </c>
      <c r="I134" t="s">
        <v>70</v>
      </c>
      <c r="J134" s="6">
        <v>360000</v>
      </c>
    </row>
    <row r="135" spans="1:12" x14ac:dyDescent="0.25">
      <c r="I135" t="s">
        <v>21</v>
      </c>
      <c r="J135" s="6">
        <v>25000</v>
      </c>
    </row>
    <row r="136" spans="1:12" x14ac:dyDescent="0.25">
      <c r="I136" t="s">
        <v>100</v>
      </c>
      <c r="J136" s="6">
        <v>20000</v>
      </c>
    </row>
    <row r="138" spans="1:12" x14ac:dyDescent="0.25">
      <c r="I138" t="s">
        <v>22</v>
      </c>
      <c r="J138" s="6">
        <f>SUM(J134:J137)</f>
        <v>405000</v>
      </c>
    </row>
    <row r="140" spans="1:12" x14ac:dyDescent="0.25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2" t="s">
        <v>5</v>
      </c>
      <c r="G140" s="3" t="s">
        <v>6</v>
      </c>
      <c r="H140" s="3" t="s">
        <v>7</v>
      </c>
      <c r="I140" s="4" t="s">
        <v>8</v>
      </c>
      <c r="J140" s="2" t="s">
        <v>9</v>
      </c>
      <c r="K140" s="3" t="s">
        <v>10</v>
      </c>
      <c r="L140" s="2" t="s">
        <v>9</v>
      </c>
    </row>
    <row r="141" spans="1:12" x14ac:dyDescent="0.25">
      <c r="A141" s="5">
        <v>45905</v>
      </c>
      <c r="B141" t="s">
        <v>788</v>
      </c>
      <c r="D141" t="s">
        <v>12</v>
      </c>
      <c r="G141" t="s">
        <v>789</v>
      </c>
      <c r="I141" t="s">
        <v>790</v>
      </c>
    </row>
    <row r="142" spans="1:12" x14ac:dyDescent="0.25">
      <c r="I142" t="s">
        <v>61</v>
      </c>
    </row>
    <row r="144" spans="1:12" x14ac:dyDescent="0.25">
      <c r="I144" t="s">
        <v>22</v>
      </c>
    </row>
    <row r="146" spans="1:12" x14ac:dyDescent="0.25">
      <c r="A146" s="1" t="s">
        <v>0</v>
      </c>
      <c r="B146" s="1" t="s">
        <v>1</v>
      </c>
      <c r="C146" s="1" t="s">
        <v>2</v>
      </c>
      <c r="D146" s="1" t="s">
        <v>3</v>
      </c>
      <c r="E146" s="1" t="s">
        <v>4</v>
      </c>
      <c r="F146" s="2" t="s">
        <v>5</v>
      </c>
      <c r="G146" s="3" t="s">
        <v>6</v>
      </c>
      <c r="H146" s="3" t="s">
        <v>7</v>
      </c>
      <c r="I146" s="4" t="s">
        <v>8</v>
      </c>
      <c r="J146" s="2" t="s">
        <v>9</v>
      </c>
      <c r="K146" s="3" t="s">
        <v>10</v>
      </c>
      <c r="L146" s="2" t="s">
        <v>9</v>
      </c>
    </row>
    <row r="147" spans="1:12" x14ac:dyDescent="0.25">
      <c r="A147" s="5">
        <v>45905</v>
      </c>
      <c r="B147" t="s">
        <v>31</v>
      </c>
      <c r="C147" t="s">
        <v>101</v>
      </c>
      <c r="D147" t="s">
        <v>45</v>
      </c>
      <c r="E147">
        <v>2014</v>
      </c>
      <c r="F147" s="6">
        <v>73071</v>
      </c>
      <c r="G147" t="s">
        <v>102</v>
      </c>
      <c r="I147" t="s">
        <v>103</v>
      </c>
      <c r="J147" s="6">
        <v>1600000</v>
      </c>
    </row>
    <row r="148" spans="1:12" x14ac:dyDescent="0.25">
      <c r="I148" t="s">
        <v>104</v>
      </c>
      <c r="J148" s="6">
        <v>160000</v>
      </c>
    </row>
    <row r="149" spans="1:12" x14ac:dyDescent="0.25">
      <c r="I149" t="s">
        <v>105</v>
      </c>
      <c r="J149" s="6">
        <v>150000</v>
      </c>
    </row>
    <row r="150" spans="1:12" x14ac:dyDescent="0.25">
      <c r="I150" t="s">
        <v>106</v>
      </c>
      <c r="J150" s="6">
        <v>180000</v>
      </c>
    </row>
    <row r="151" spans="1:12" x14ac:dyDescent="0.25">
      <c r="I151" t="s">
        <v>107</v>
      </c>
      <c r="J151" s="6">
        <v>125000</v>
      </c>
    </row>
    <row r="152" spans="1:12" x14ac:dyDescent="0.25">
      <c r="I152" t="s">
        <v>108</v>
      </c>
      <c r="J152" s="6">
        <v>80000</v>
      </c>
    </row>
    <row r="153" spans="1:12" x14ac:dyDescent="0.25">
      <c r="I153" t="s">
        <v>21</v>
      </c>
      <c r="J153" s="6">
        <v>25000</v>
      </c>
    </row>
    <row r="154" spans="1:12" x14ac:dyDescent="0.25">
      <c r="I154" t="s">
        <v>109</v>
      </c>
      <c r="J154" s="6">
        <v>120000</v>
      </c>
    </row>
    <row r="155" spans="1:12" x14ac:dyDescent="0.25">
      <c r="I155" t="s">
        <v>37</v>
      </c>
    </row>
    <row r="157" spans="1:12" x14ac:dyDescent="0.25">
      <c r="I157" t="s">
        <v>22</v>
      </c>
      <c r="J157" s="6">
        <f>SUM(J147:J156)</f>
        <v>2440000</v>
      </c>
    </row>
    <row r="159" spans="1:12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2" t="s">
        <v>5</v>
      </c>
      <c r="G159" s="3" t="s">
        <v>6</v>
      </c>
      <c r="H159" s="3" t="s">
        <v>7</v>
      </c>
      <c r="I159" s="4" t="s">
        <v>8</v>
      </c>
      <c r="J159" s="2" t="s">
        <v>9</v>
      </c>
      <c r="K159" s="3" t="s">
        <v>10</v>
      </c>
      <c r="L159" s="2" t="s">
        <v>9</v>
      </c>
    </row>
    <row r="160" spans="1:12" x14ac:dyDescent="0.25">
      <c r="A160" s="5">
        <v>45905</v>
      </c>
      <c r="B160" t="s">
        <v>110</v>
      </c>
      <c r="C160" t="s">
        <v>111</v>
      </c>
      <c r="D160" t="s">
        <v>45</v>
      </c>
      <c r="F160" s="6">
        <v>106546</v>
      </c>
      <c r="G160" t="s">
        <v>113</v>
      </c>
      <c r="H160">
        <v>3134903494</v>
      </c>
      <c r="I160" t="s">
        <v>114</v>
      </c>
      <c r="J160" s="6">
        <v>350000</v>
      </c>
    </row>
    <row r="161" spans="1:12" x14ac:dyDescent="0.25">
      <c r="C161" t="s">
        <v>112</v>
      </c>
      <c r="I161" t="s">
        <v>115</v>
      </c>
      <c r="J161" s="6">
        <v>120000</v>
      </c>
    </row>
    <row r="162" spans="1:12" x14ac:dyDescent="0.25">
      <c r="I162" t="s">
        <v>116</v>
      </c>
      <c r="J162" s="6">
        <v>20000</v>
      </c>
    </row>
    <row r="163" spans="1:12" x14ac:dyDescent="0.25">
      <c r="I163" t="s">
        <v>117</v>
      </c>
      <c r="J163" s="6">
        <v>104000</v>
      </c>
    </row>
    <row r="164" spans="1:12" x14ac:dyDescent="0.25">
      <c r="I164" t="s">
        <v>118</v>
      </c>
      <c r="J164" s="6">
        <v>80000</v>
      </c>
    </row>
    <row r="165" spans="1:12" x14ac:dyDescent="0.25">
      <c r="I165" t="s">
        <v>119</v>
      </c>
      <c r="J165" s="6">
        <v>90000</v>
      </c>
    </row>
    <row r="167" spans="1:12" x14ac:dyDescent="0.25">
      <c r="I167" t="s">
        <v>22</v>
      </c>
      <c r="J167" s="6">
        <f>SUM(J160:J166)</f>
        <v>764000</v>
      </c>
    </row>
    <row r="169" spans="1:12" x14ac:dyDescent="0.25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2" t="s">
        <v>5</v>
      </c>
      <c r="G169" s="3" t="s">
        <v>6</v>
      </c>
      <c r="H169" s="3" t="s">
        <v>7</v>
      </c>
      <c r="I169" s="4" t="s">
        <v>8</v>
      </c>
      <c r="J169" s="2" t="s">
        <v>9</v>
      </c>
      <c r="K169" s="3" t="s">
        <v>10</v>
      </c>
      <c r="L169" s="2" t="s">
        <v>9</v>
      </c>
    </row>
    <row r="170" spans="1:12" x14ac:dyDescent="0.25">
      <c r="A170" s="5">
        <v>45905</v>
      </c>
      <c r="B170" t="s">
        <v>31</v>
      </c>
      <c r="C170" t="s">
        <v>120</v>
      </c>
      <c r="D170" t="s">
        <v>25</v>
      </c>
      <c r="E170">
        <v>2016</v>
      </c>
      <c r="F170" s="6">
        <v>76363</v>
      </c>
      <c r="G170" t="s">
        <v>121</v>
      </c>
      <c r="I170" t="s">
        <v>103</v>
      </c>
      <c r="J170" s="6">
        <v>1500000</v>
      </c>
    </row>
    <row r="171" spans="1:12" x14ac:dyDescent="0.25">
      <c r="I171" t="s">
        <v>70</v>
      </c>
      <c r="J171" s="6">
        <v>390000</v>
      </c>
    </row>
    <row r="172" spans="1:12" x14ac:dyDescent="0.25">
      <c r="I172" t="s">
        <v>122</v>
      </c>
      <c r="J172" s="6">
        <v>150000</v>
      </c>
    </row>
    <row r="173" spans="1:12" x14ac:dyDescent="0.25">
      <c r="I173" t="s">
        <v>21</v>
      </c>
      <c r="J173" s="6">
        <v>25000</v>
      </c>
    </row>
    <row r="174" spans="1:12" x14ac:dyDescent="0.25">
      <c r="I174" t="s">
        <v>123</v>
      </c>
      <c r="J174" s="6">
        <v>150000</v>
      </c>
    </row>
    <row r="176" spans="1:12" x14ac:dyDescent="0.25">
      <c r="I176" t="s">
        <v>22</v>
      </c>
      <c r="J176" s="6">
        <f>SUM(J170:J175)</f>
        <v>2215000</v>
      </c>
    </row>
    <row r="178" spans="1:12" x14ac:dyDescent="0.25">
      <c r="A178" s="1" t="s">
        <v>0</v>
      </c>
      <c r="B178" s="1" t="s">
        <v>1</v>
      </c>
      <c r="C178" s="1" t="s">
        <v>2</v>
      </c>
      <c r="D178" s="1" t="s">
        <v>3</v>
      </c>
      <c r="E178" s="1" t="s">
        <v>4</v>
      </c>
      <c r="F178" s="2" t="s">
        <v>5</v>
      </c>
      <c r="G178" s="3" t="s">
        <v>6</v>
      </c>
      <c r="H178" s="3" t="s">
        <v>7</v>
      </c>
      <c r="I178" s="4" t="s">
        <v>8</v>
      </c>
      <c r="J178" s="2" t="s">
        <v>9</v>
      </c>
      <c r="K178" s="3" t="s">
        <v>10</v>
      </c>
      <c r="L178" s="2" t="s">
        <v>9</v>
      </c>
    </row>
    <row r="179" spans="1:12" x14ac:dyDescent="0.25">
      <c r="A179" s="5">
        <v>45905</v>
      </c>
      <c r="B179" t="s">
        <v>791</v>
      </c>
      <c r="D179" t="s">
        <v>138</v>
      </c>
      <c r="G179" t="s">
        <v>792</v>
      </c>
      <c r="I179" t="s">
        <v>793</v>
      </c>
    </row>
    <row r="180" spans="1:12" x14ac:dyDescent="0.25">
      <c r="I180" t="s">
        <v>794</v>
      </c>
    </row>
    <row r="181" spans="1:12" x14ac:dyDescent="0.25">
      <c r="I181" t="s">
        <v>58</v>
      </c>
    </row>
    <row r="183" spans="1:12" x14ac:dyDescent="0.25">
      <c r="I183" t="s">
        <v>22</v>
      </c>
    </row>
    <row r="185" spans="1:12" x14ac:dyDescent="0.25">
      <c r="A185" s="1" t="s">
        <v>0</v>
      </c>
      <c r="B185" s="1" t="s">
        <v>1</v>
      </c>
      <c r="C185" s="1" t="s">
        <v>2</v>
      </c>
      <c r="D185" s="1" t="s">
        <v>3</v>
      </c>
      <c r="E185" s="1" t="s">
        <v>4</v>
      </c>
      <c r="F185" s="2" t="s">
        <v>5</v>
      </c>
      <c r="G185" s="3" t="s">
        <v>6</v>
      </c>
      <c r="H185" s="3" t="s">
        <v>7</v>
      </c>
      <c r="I185" s="4" t="s">
        <v>8</v>
      </c>
      <c r="J185" s="2" t="s">
        <v>9</v>
      </c>
      <c r="K185" s="3" t="s">
        <v>10</v>
      </c>
      <c r="L185" s="2" t="s">
        <v>9</v>
      </c>
    </row>
    <row r="186" spans="1:12" x14ac:dyDescent="0.25">
      <c r="A186" s="5">
        <v>45906</v>
      </c>
      <c r="B186" t="s">
        <v>72</v>
      </c>
      <c r="C186" t="s">
        <v>73</v>
      </c>
      <c r="D186" t="s">
        <v>12</v>
      </c>
      <c r="F186" s="6">
        <v>68655</v>
      </c>
      <c r="G186" t="s">
        <v>74</v>
      </c>
      <c r="H186">
        <v>3143430568</v>
      </c>
      <c r="I186" t="s">
        <v>75</v>
      </c>
      <c r="J186" s="6">
        <v>180000</v>
      </c>
    </row>
    <row r="187" spans="1:12" x14ac:dyDescent="0.25">
      <c r="I187" t="s">
        <v>21</v>
      </c>
      <c r="J187" s="6">
        <v>25000</v>
      </c>
    </row>
    <row r="188" spans="1:12" x14ac:dyDescent="0.25">
      <c r="I188" t="s">
        <v>76</v>
      </c>
      <c r="J188" s="6">
        <v>350000</v>
      </c>
    </row>
    <row r="189" spans="1:12" x14ac:dyDescent="0.25">
      <c r="I189" t="s">
        <v>34</v>
      </c>
      <c r="J189" s="6">
        <v>135000</v>
      </c>
    </row>
    <row r="190" spans="1:12" x14ac:dyDescent="0.25">
      <c r="I190" t="s">
        <v>19</v>
      </c>
      <c r="J190" s="6">
        <v>35000</v>
      </c>
    </row>
    <row r="191" spans="1:12" x14ac:dyDescent="0.25">
      <c r="I191" t="s">
        <v>77</v>
      </c>
      <c r="J191" s="6">
        <v>300000</v>
      </c>
    </row>
    <row r="193" spans="1:12" x14ac:dyDescent="0.25">
      <c r="I193" t="s">
        <v>22</v>
      </c>
      <c r="J193" s="6">
        <f>SUM(J186:J192)</f>
        <v>1025000</v>
      </c>
    </row>
    <row r="195" spans="1:12" x14ac:dyDescent="0.25">
      <c r="A195" s="1" t="s">
        <v>0</v>
      </c>
      <c r="B195" s="1" t="s">
        <v>1</v>
      </c>
      <c r="C195" s="1" t="s">
        <v>2</v>
      </c>
      <c r="D195" s="1" t="s">
        <v>3</v>
      </c>
      <c r="E195" s="1" t="s">
        <v>4</v>
      </c>
      <c r="F195" s="2" t="s">
        <v>5</v>
      </c>
      <c r="G195" s="3" t="s">
        <v>6</v>
      </c>
      <c r="H195" s="3" t="s">
        <v>7</v>
      </c>
      <c r="I195" s="4" t="s">
        <v>8</v>
      </c>
      <c r="J195" s="2" t="s">
        <v>9</v>
      </c>
      <c r="K195" s="3" t="s">
        <v>10</v>
      </c>
      <c r="L195" s="2" t="s">
        <v>9</v>
      </c>
    </row>
    <row r="196" spans="1:12" x14ac:dyDescent="0.25">
      <c r="A196" s="5">
        <v>45906</v>
      </c>
      <c r="B196" t="s">
        <v>31</v>
      </c>
      <c r="C196" t="s">
        <v>141</v>
      </c>
      <c r="D196" t="s">
        <v>142</v>
      </c>
      <c r="F196" s="6">
        <v>80819</v>
      </c>
      <c r="G196" t="s">
        <v>143</v>
      </c>
      <c r="I196" t="s">
        <v>21</v>
      </c>
      <c r="J196" s="6">
        <v>25000</v>
      </c>
    </row>
    <row r="197" spans="1:12" x14ac:dyDescent="0.25">
      <c r="I197" t="s">
        <v>144</v>
      </c>
      <c r="J197" s="6">
        <v>90000</v>
      </c>
    </row>
    <row r="198" spans="1:12" x14ac:dyDescent="0.25">
      <c r="I198" t="s">
        <v>145</v>
      </c>
      <c r="J198" s="6">
        <v>47000</v>
      </c>
    </row>
    <row r="199" spans="1:12" x14ac:dyDescent="0.25">
      <c r="I199" t="s">
        <v>146</v>
      </c>
      <c r="J199" s="6">
        <v>40000</v>
      </c>
    </row>
    <row r="200" spans="1:12" x14ac:dyDescent="0.25">
      <c r="I200" t="s">
        <v>147</v>
      </c>
      <c r="J200" s="6">
        <v>40000</v>
      </c>
    </row>
    <row r="202" spans="1:12" x14ac:dyDescent="0.25">
      <c r="I202" t="s">
        <v>22</v>
      </c>
      <c r="J202" s="6">
        <f>SUM(J196:J201)</f>
        <v>242000</v>
      </c>
    </row>
    <row r="204" spans="1:12" x14ac:dyDescent="0.25">
      <c r="A204" s="1" t="s">
        <v>0</v>
      </c>
      <c r="B204" s="1" t="s">
        <v>1</v>
      </c>
      <c r="C204" s="1" t="s">
        <v>2</v>
      </c>
      <c r="D204" s="1" t="s">
        <v>3</v>
      </c>
      <c r="E204" s="1" t="s">
        <v>4</v>
      </c>
      <c r="F204" s="2" t="s">
        <v>5</v>
      </c>
      <c r="G204" s="3" t="s">
        <v>6</v>
      </c>
      <c r="H204" s="3" t="s">
        <v>7</v>
      </c>
      <c r="I204" s="4" t="s">
        <v>8</v>
      </c>
      <c r="J204" s="2" t="s">
        <v>9</v>
      </c>
      <c r="K204" s="3" t="s">
        <v>10</v>
      </c>
      <c r="L204" s="2" t="s">
        <v>9</v>
      </c>
    </row>
    <row r="205" spans="1:12" x14ac:dyDescent="0.25">
      <c r="A205" s="5">
        <v>45906</v>
      </c>
      <c r="B205" t="s">
        <v>31</v>
      </c>
      <c r="C205" t="s">
        <v>148</v>
      </c>
      <c r="D205" t="s">
        <v>12</v>
      </c>
      <c r="F205" s="6">
        <v>62022</v>
      </c>
      <c r="G205" t="s">
        <v>149</v>
      </c>
      <c r="I205" t="s">
        <v>150</v>
      </c>
      <c r="J205" s="6">
        <v>90000</v>
      </c>
    </row>
    <row r="206" spans="1:12" x14ac:dyDescent="0.25">
      <c r="I206" t="s">
        <v>151</v>
      </c>
      <c r="J206" s="6">
        <v>110000</v>
      </c>
    </row>
    <row r="207" spans="1:12" x14ac:dyDescent="0.25">
      <c r="I207" t="s">
        <v>50</v>
      </c>
      <c r="J207" s="6">
        <v>80000</v>
      </c>
    </row>
    <row r="209" spans="1:12" x14ac:dyDescent="0.25">
      <c r="I209" t="s">
        <v>22</v>
      </c>
      <c r="J209" s="6">
        <f>SUM(J205:J208)</f>
        <v>280000</v>
      </c>
    </row>
    <row r="211" spans="1:12" x14ac:dyDescent="0.25">
      <c r="A211" s="1" t="s">
        <v>0</v>
      </c>
      <c r="B211" s="1" t="s">
        <v>1</v>
      </c>
      <c r="C211" s="1" t="s">
        <v>2</v>
      </c>
      <c r="D211" s="1" t="s">
        <v>3</v>
      </c>
      <c r="E211" s="1" t="s">
        <v>4</v>
      </c>
      <c r="F211" s="2" t="s">
        <v>5</v>
      </c>
      <c r="G211" s="3" t="s">
        <v>6</v>
      </c>
      <c r="H211" s="3" t="s">
        <v>7</v>
      </c>
      <c r="I211" s="4" t="s">
        <v>8</v>
      </c>
      <c r="J211" s="2" t="s">
        <v>9</v>
      </c>
      <c r="K211" s="3" t="s">
        <v>10</v>
      </c>
      <c r="L211" s="2" t="s">
        <v>9</v>
      </c>
    </row>
    <row r="212" spans="1:12" x14ac:dyDescent="0.25">
      <c r="A212" s="5">
        <v>45906</v>
      </c>
      <c r="B212" t="s">
        <v>31</v>
      </c>
      <c r="C212" t="s">
        <v>152</v>
      </c>
      <c r="D212" t="s">
        <v>12</v>
      </c>
      <c r="G212" t="s">
        <v>153</v>
      </c>
      <c r="I212" t="s">
        <v>154</v>
      </c>
      <c r="J212" s="6">
        <v>370000</v>
      </c>
    </row>
    <row r="213" spans="1:12" x14ac:dyDescent="0.25">
      <c r="I213" t="s">
        <v>155</v>
      </c>
      <c r="J213" s="6">
        <v>50000</v>
      </c>
    </row>
    <row r="215" spans="1:12" x14ac:dyDescent="0.25">
      <c r="I215" t="s">
        <v>22</v>
      </c>
      <c r="J215" s="6">
        <f>SUM(J212:J214)</f>
        <v>420000</v>
      </c>
    </row>
    <row r="217" spans="1:12" x14ac:dyDescent="0.25">
      <c r="A217" s="1" t="s">
        <v>0</v>
      </c>
      <c r="B217" s="1" t="s">
        <v>1</v>
      </c>
      <c r="C217" s="1" t="s">
        <v>2</v>
      </c>
      <c r="D217" s="1" t="s">
        <v>3</v>
      </c>
      <c r="E217" s="1" t="s">
        <v>4</v>
      </c>
      <c r="F217" s="2" t="s">
        <v>5</v>
      </c>
      <c r="G217" s="3" t="s">
        <v>6</v>
      </c>
      <c r="H217" s="3" t="s">
        <v>7</v>
      </c>
      <c r="I217" s="4" t="s">
        <v>8</v>
      </c>
      <c r="J217" s="2" t="s">
        <v>9</v>
      </c>
      <c r="K217" s="3" t="s">
        <v>10</v>
      </c>
      <c r="L217" s="2" t="s">
        <v>9</v>
      </c>
    </row>
    <row r="218" spans="1:12" x14ac:dyDescent="0.25">
      <c r="A218" s="5">
        <v>45906</v>
      </c>
      <c r="B218" t="s">
        <v>110</v>
      </c>
      <c r="C218" t="s">
        <v>156</v>
      </c>
      <c r="D218" t="s">
        <v>45</v>
      </c>
      <c r="F218" s="6">
        <v>142755</v>
      </c>
      <c r="G218" t="s">
        <v>157</v>
      </c>
      <c r="I218" t="s">
        <v>158</v>
      </c>
    </row>
    <row r="219" spans="1:12" x14ac:dyDescent="0.25">
      <c r="I219" t="s">
        <v>159</v>
      </c>
    </row>
    <row r="220" spans="1:12" x14ac:dyDescent="0.25">
      <c r="I220" t="s">
        <v>160</v>
      </c>
    </row>
    <row r="221" spans="1:12" x14ac:dyDescent="0.25">
      <c r="I221" t="s">
        <v>61</v>
      </c>
    </row>
    <row r="223" spans="1:12" x14ac:dyDescent="0.25">
      <c r="I223" t="s">
        <v>22</v>
      </c>
      <c r="J223" s="6">
        <v>330000</v>
      </c>
    </row>
    <row r="225" spans="1:12" x14ac:dyDescent="0.25">
      <c r="A225" s="1" t="s">
        <v>0</v>
      </c>
      <c r="B225" s="1" t="s">
        <v>1</v>
      </c>
      <c r="C225" s="1" t="s">
        <v>2</v>
      </c>
      <c r="D225" s="1" t="s">
        <v>3</v>
      </c>
      <c r="E225" s="1" t="s">
        <v>4</v>
      </c>
      <c r="F225" s="2" t="s">
        <v>5</v>
      </c>
      <c r="G225" s="3" t="s">
        <v>6</v>
      </c>
      <c r="H225" s="3" t="s">
        <v>7</v>
      </c>
      <c r="I225" s="4" t="s">
        <v>8</v>
      </c>
      <c r="J225" s="2" t="s">
        <v>9</v>
      </c>
      <c r="K225" s="3" t="s">
        <v>10</v>
      </c>
      <c r="L225" s="2" t="s">
        <v>9</v>
      </c>
    </row>
    <row r="226" spans="1:12" x14ac:dyDescent="0.25">
      <c r="A226" s="5">
        <v>45908</v>
      </c>
      <c r="B226" t="s">
        <v>161</v>
      </c>
      <c r="C226" t="s">
        <v>162</v>
      </c>
      <c r="F226" s="6">
        <v>26768</v>
      </c>
      <c r="I226" t="s">
        <v>34</v>
      </c>
      <c r="J226" s="6">
        <v>60000</v>
      </c>
    </row>
    <row r="227" spans="1:12" x14ac:dyDescent="0.25">
      <c r="I227" t="s">
        <v>163</v>
      </c>
      <c r="J227" s="6">
        <v>6000</v>
      </c>
    </row>
    <row r="228" spans="1:12" x14ac:dyDescent="0.25">
      <c r="I228" t="s">
        <v>19</v>
      </c>
      <c r="J228" s="6">
        <v>16000</v>
      </c>
    </row>
    <row r="230" spans="1:12" x14ac:dyDescent="0.25">
      <c r="I230" t="s">
        <v>22</v>
      </c>
      <c r="J230" s="6">
        <f>SUM(J226:J229)</f>
        <v>82000</v>
      </c>
    </row>
    <row r="232" spans="1:12" x14ac:dyDescent="0.25">
      <c r="A232" s="1" t="s">
        <v>0</v>
      </c>
      <c r="B232" s="1" t="s">
        <v>1</v>
      </c>
      <c r="C232" s="1" t="s">
        <v>2</v>
      </c>
      <c r="D232" s="1" t="s">
        <v>3</v>
      </c>
      <c r="E232" s="1" t="s">
        <v>4</v>
      </c>
      <c r="F232" s="2" t="s">
        <v>5</v>
      </c>
      <c r="G232" s="3" t="s">
        <v>6</v>
      </c>
      <c r="H232" s="3" t="s">
        <v>7</v>
      </c>
      <c r="I232" s="4" t="s">
        <v>8</v>
      </c>
      <c r="J232" s="2" t="s">
        <v>9</v>
      </c>
      <c r="K232" s="3" t="s">
        <v>10</v>
      </c>
      <c r="L232" s="2" t="s">
        <v>9</v>
      </c>
    </row>
    <row r="233" spans="1:12" x14ac:dyDescent="0.25">
      <c r="A233" s="5">
        <v>45908</v>
      </c>
      <c r="B233" t="s">
        <v>31</v>
      </c>
      <c r="C233" t="s">
        <v>124</v>
      </c>
      <c r="D233" t="s">
        <v>45</v>
      </c>
      <c r="F233" s="6">
        <v>72066</v>
      </c>
      <c r="G233" t="s">
        <v>125</v>
      </c>
      <c r="H233">
        <v>3003068298</v>
      </c>
      <c r="I233" t="s">
        <v>126</v>
      </c>
      <c r="J233" s="6">
        <v>80000</v>
      </c>
    </row>
    <row r="234" spans="1:12" x14ac:dyDescent="0.25">
      <c r="I234" t="s">
        <v>127</v>
      </c>
      <c r="J234" s="6">
        <v>200000</v>
      </c>
    </row>
    <row r="235" spans="1:12" x14ac:dyDescent="0.25">
      <c r="I235" t="s">
        <v>19</v>
      </c>
      <c r="J235" s="6">
        <v>46000</v>
      </c>
    </row>
    <row r="236" spans="1:12" x14ac:dyDescent="0.25">
      <c r="I236" t="s">
        <v>37</v>
      </c>
      <c r="J236" s="6">
        <v>40000</v>
      </c>
    </row>
    <row r="237" spans="1:12" x14ac:dyDescent="0.25">
      <c r="I237" t="s">
        <v>128</v>
      </c>
      <c r="J237" s="6">
        <v>80000</v>
      </c>
    </row>
    <row r="238" spans="1:12" x14ac:dyDescent="0.25">
      <c r="I238" t="s">
        <v>21</v>
      </c>
      <c r="J238" s="6">
        <v>25000</v>
      </c>
    </row>
    <row r="239" spans="1:12" x14ac:dyDescent="0.25">
      <c r="I239" t="s">
        <v>129</v>
      </c>
      <c r="J239" s="6">
        <v>240000</v>
      </c>
    </row>
    <row r="241" spans="1:12" x14ac:dyDescent="0.25">
      <c r="I241" t="s">
        <v>22</v>
      </c>
      <c r="J241" s="6">
        <f>SUM(J233:J240)</f>
        <v>711000</v>
      </c>
    </row>
    <row r="243" spans="1:12" x14ac:dyDescent="0.25">
      <c r="A243" s="1" t="s">
        <v>0</v>
      </c>
      <c r="B243" s="1" t="s">
        <v>1</v>
      </c>
      <c r="C243" s="1" t="s">
        <v>2</v>
      </c>
      <c r="D243" s="1" t="s">
        <v>3</v>
      </c>
      <c r="E243" s="1" t="s">
        <v>4</v>
      </c>
      <c r="F243" s="2" t="s">
        <v>5</v>
      </c>
      <c r="G243" s="3" t="s">
        <v>6</v>
      </c>
      <c r="H243" s="3" t="s">
        <v>7</v>
      </c>
      <c r="I243" s="4" t="s">
        <v>8</v>
      </c>
      <c r="J243" s="2" t="s">
        <v>9</v>
      </c>
      <c r="K243" s="3" t="s">
        <v>10</v>
      </c>
      <c r="L243" s="2" t="s">
        <v>9</v>
      </c>
    </row>
    <row r="244" spans="1:12" x14ac:dyDescent="0.25">
      <c r="A244" s="5">
        <v>45908</v>
      </c>
      <c r="B244" t="s">
        <v>136</v>
      </c>
      <c r="C244" t="s">
        <v>137</v>
      </c>
      <c r="D244" t="s">
        <v>138</v>
      </c>
      <c r="F244" s="6">
        <v>22407</v>
      </c>
      <c r="I244" t="s">
        <v>139</v>
      </c>
    </row>
    <row r="245" spans="1:12" x14ac:dyDescent="0.25">
      <c r="I245" t="s">
        <v>140</v>
      </c>
    </row>
    <row r="246" spans="1:12" x14ac:dyDescent="0.25">
      <c r="I246" t="s">
        <v>61</v>
      </c>
    </row>
    <row r="248" spans="1:12" x14ac:dyDescent="0.25">
      <c r="I248" t="s">
        <v>22</v>
      </c>
    </row>
    <row r="250" spans="1:12" x14ac:dyDescent="0.25">
      <c r="A250" s="1" t="s">
        <v>0</v>
      </c>
      <c r="B250" s="1" t="s">
        <v>1</v>
      </c>
      <c r="C250" s="1" t="s">
        <v>2</v>
      </c>
      <c r="D250" s="1" t="s">
        <v>3</v>
      </c>
      <c r="E250" s="1" t="s">
        <v>4</v>
      </c>
      <c r="F250" s="2" t="s">
        <v>5</v>
      </c>
      <c r="G250" s="3" t="s">
        <v>6</v>
      </c>
      <c r="H250" s="3" t="s">
        <v>7</v>
      </c>
      <c r="I250" s="4" t="s">
        <v>8</v>
      </c>
      <c r="J250" s="2" t="s">
        <v>9</v>
      </c>
      <c r="K250" s="3" t="s">
        <v>10</v>
      </c>
      <c r="L250" s="2" t="s">
        <v>9</v>
      </c>
    </row>
    <row r="251" spans="1:12" x14ac:dyDescent="0.25">
      <c r="A251" s="5">
        <v>45909</v>
      </c>
      <c r="B251" t="s">
        <v>31</v>
      </c>
      <c r="C251" t="s">
        <v>164</v>
      </c>
      <c r="D251" t="s">
        <v>12</v>
      </c>
      <c r="F251" s="6">
        <v>90746</v>
      </c>
      <c r="G251" t="s">
        <v>165</v>
      </c>
      <c r="I251" t="s">
        <v>166</v>
      </c>
      <c r="J251" s="6">
        <v>45000</v>
      </c>
    </row>
    <row r="252" spans="1:12" x14ac:dyDescent="0.25">
      <c r="I252" t="s">
        <v>145</v>
      </c>
      <c r="J252" s="6">
        <v>46000</v>
      </c>
    </row>
    <row r="253" spans="1:12" x14ac:dyDescent="0.25">
      <c r="I253" t="s">
        <v>167</v>
      </c>
      <c r="J253" s="6">
        <v>52000</v>
      </c>
    </row>
    <row r="254" spans="1:12" x14ac:dyDescent="0.25">
      <c r="I254" t="s">
        <v>18</v>
      </c>
      <c r="J254" s="6">
        <v>35000</v>
      </c>
    </row>
    <row r="256" spans="1:12" x14ac:dyDescent="0.25">
      <c r="I256" t="s">
        <v>22</v>
      </c>
      <c r="J256" s="6">
        <f>SUM(J251:J255)</f>
        <v>178000</v>
      </c>
    </row>
    <row r="258" spans="1:12" x14ac:dyDescent="0.25">
      <c r="A258" s="1" t="s">
        <v>0</v>
      </c>
      <c r="B258" s="1" t="s">
        <v>1</v>
      </c>
      <c r="C258" s="1" t="s">
        <v>2</v>
      </c>
      <c r="D258" s="1" t="s">
        <v>3</v>
      </c>
      <c r="E258" s="1" t="s">
        <v>4</v>
      </c>
      <c r="F258" s="2" t="s">
        <v>5</v>
      </c>
      <c r="G258" s="3" t="s">
        <v>6</v>
      </c>
      <c r="H258" s="3" t="s">
        <v>7</v>
      </c>
      <c r="I258" s="4" t="s">
        <v>8</v>
      </c>
      <c r="J258" s="2" t="s">
        <v>9</v>
      </c>
      <c r="K258" s="3" t="s">
        <v>10</v>
      </c>
      <c r="L258" s="2" t="s">
        <v>9</v>
      </c>
    </row>
    <row r="259" spans="1:12" x14ac:dyDescent="0.25">
      <c r="A259" s="5">
        <v>45910</v>
      </c>
      <c r="B259" t="s">
        <v>130</v>
      </c>
      <c r="C259" t="s">
        <v>131</v>
      </c>
      <c r="D259" t="s">
        <v>25</v>
      </c>
      <c r="F259" s="6">
        <v>13982</v>
      </c>
      <c r="I259" t="s">
        <v>132</v>
      </c>
      <c r="J259" s="6">
        <v>2400000</v>
      </c>
    </row>
    <row r="260" spans="1:12" x14ac:dyDescent="0.25">
      <c r="I260" t="s">
        <v>107</v>
      </c>
      <c r="J260" s="6">
        <v>105000</v>
      </c>
    </row>
    <row r="261" spans="1:12" x14ac:dyDescent="0.25">
      <c r="I261" t="s">
        <v>133</v>
      </c>
      <c r="J261" s="6">
        <v>165000</v>
      </c>
    </row>
    <row r="262" spans="1:12" x14ac:dyDescent="0.25">
      <c r="I262" t="s">
        <v>108</v>
      </c>
      <c r="J262" s="6">
        <v>50000</v>
      </c>
    </row>
    <row r="263" spans="1:12" x14ac:dyDescent="0.25">
      <c r="I263" t="s">
        <v>61</v>
      </c>
      <c r="J263" s="6">
        <v>240000</v>
      </c>
    </row>
    <row r="264" spans="1:12" x14ac:dyDescent="0.25">
      <c r="I264" t="s">
        <v>134</v>
      </c>
      <c r="J264" s="6">
        <v>120000</v>
      </c>
    </row>
    <row r="265" spans="1:12" x14ac:dyDescent="0.25">
      <c r="I265" t="s">
        <v>135</v>
      </c>
      <c r="J265" s="6">
        <v>25000</v>
      </c>
    </row>
    <row r="267" spans="1:12" x14ac:dyDescent="0.25">
      <c r="I267" t="s">
        <v>22</v>
      </c>
      <c r="J267" s="6">
        <f>SUM(J259:J266)</f>
        <v>3105000</v>
      </c>
    </row>
    <row r="269" spans="1:12" x14ac:dyDescent="0.25">
      <c r="A269" s="1" t="s">
        <v>0</v>
      </c>
      <c r="B269" s="1" t="s">
        <v>1</v>
      </c>
      <c r="C269" s="1" t="s">
        <v>2</v>
      </c>
      <c r="D269" s="1" t="s">
        <v>3</v>
      </c>
      <c r="E269" s="1" t="s">
        <v>4</v>
      </c>
      <c r="F269" s="2" t="s">
        <v>5</v>
      </c>
      <c r="G269" s="3" t="s">
        <v>6</v>
      </c>
      <c r="H269" s="3" t="s">
        <v>7</v>
      </c>
      <c r="I269" s="4" t="s">
        <v>8</v>
      </c>
      <c r="J269" s="2" t="s">
        <v>9</v>
      </c>
      <c r="K269" s="3" t="s">
        <v>10</v>
      </c>
      <c r="L269" s="2" t="s">
        <v>9</v>
      </c>
    </row>
    <row r="270" spans="1:12" x14ac:dyDescent="0.25">
      <c r="A270" s="5">
        <v>45910</v>
      </c>
      <c r="B270" t="s">
        <v>190</v>
      </c>
      <c r="C270" t="s">
        <v>191</v>
      </c>
      <c r="D270" t="s">
        <v>25</v>
      </c>
      <c r="F270" s="6">
        <v>48732</v>
      </c>
      <c r="G270" t="s">
        <v>192</v>
      </c>
      <c r="I270" t="s">
        <v>193</v>
      </c>
      <c r="J270" s="6">
        <v>50000</v>
      </c>
    </row>
    <row r="271" spans="1:12" x14ac:dyDescent="0.25">
      <c r="I271" t="s">
        <v>21</v>
      </c>
      <c r="J271" s="6">
        <v>25000</v>
      </c>
    </row>
    <row r="272" spans="1:12" x14ac:dyDescent="0.25">
      <c r="I272" t="s">
        <v>194</v>
      </c>
      <c r="J272" s="6">
        <v>15000</v>
      </c>
    </row>
    <row r="274" spans="1:12" x14ac:dyDescent="0.25">
      <c r="I274" t="s">
        <v>22</v>
      </c>
      <c r="J274" s="6">
        <f>SUM(J270:J273)</f>
        <v>90000</v>
      </c>
    </row>
    <row r="276" spans="1:12" x14ac:dyDescent="0.25">
      <c r="A276" s="1" t="s">
        <v>0</v>
      </c>
      <c r="B276" s="1" t="s">
        <v>1</v>
      </c>
      <c r="C276" s="1" t="s">
        <v>2</v>
      </c>
      <c r="D276" s="1" t="s">
        <v>3</v>
      </c>
      <c r="E276" s="1" t="s">
        <v>4</v>
      </c>
      <c r="F276" s="2" t="s">
        <v>5</v>
      </c>
      <c r="G276" s="3" t="s">
        <v>6</v>
      </c>
      <c r="H276" s="3" t="s">
        <v>7</v>
      </c>
      <c r="I276" s="4" t="s">
        <v>8</v>
      </c>
      <c r="J276" s="2" t="s">
        <v>9</v>
      </c>
      <c r="K276" s="3" t="s">
        <v>10</v>
      </c>
      <c r="L276" s="2" t="s">
        <v>9</v>
      </c>
    </row>
    <row r="277" spans="1:12" x14ac:dyDescent="0.25">
      <c r="A277" s="5">
        <v>45911</v>
      </c>
      <c r="B277" t="s">
        <v>195</v>
      </c>
      <c r="C277" t="s">
        <v>196</v>
      </c>
      <c r="D277" t="s">
        <v>12</v>
      </c>
      <c r="E277">
        <v>2022</v>
      </c>
      <c r="F277" s="6">
        <v>19081</v>
      </c>
      <c r="G277" t="s">
        <v>197</v>
      </c>
      <c r="H277">
        <v>3123358762</v>
      </c>
      <c r="I277" t="s">
        <v>70</v>
      </c>
    </row>
    <row r="278" spans="1:12" x14ac:dyDescent="0.25">
      <c r="I278" t="s">
        <v>34</v>
      </c>
    </row>
    <row r="279" spans="1:12" x14ac:dyDescent="0.25">
      <c r="I279" t="s">
        <v>19</v>
      </c>
    </row>
    <row r="280" spans="1:12" x14ac:dyDescent="0.25">
      <c r="I280" t="s">
        <v>198</v>
      </c>
    </row>
    <row r="281" spans="1:12" x14ac:dyDescent="0.25">
      <c r="I281" t="s">
        <v>50</v>
      </c>
    </row>
    <row r="282" spans="1:12" x14ac:dyDescent="0.25">
      <c r="I282" t="s">
        <v>21</v>
      </c>
    </row>
    <row r="284" spans="1:12" x14ac:dyDescent="0.25">
      <c r="I284" t="s">
        <v>22</v>
      </c>
    </row>
    <row r="286" spans="1:12" x14ac:dyDescent="0.25">
      <c r="A286" s="1" t="s">
        <v>0</v>
      </c>
      <c r="B286" s="1" t="s">
        <v>1</v>
      </c>
      <c r="C286" s="1" t="s">
        <v>2</v>
      </c>
      <c r="D286" s="1" t="s">
        <v>3</v>
      </c>
      <c r="E286" s="1" t="s">
        <v>4</v>
      </c>
      <c r="F286" s="2" t="s">
        <v>5</v>
      </c>
      <c r="G286" s="3" t="s">
        <v>6</v>
      </c>
      <c r="H286" s="3" t="s">
        <v>7</v>
      </c>
      <c r="I286" s="4" t="s">
        <v>8</v>
      </c>
      <c r="J286" s="2" t="s">
        <v>9</v>
      </c>
      <c r="K286" s="3" t="s">
        <v>10</v>
      </c>
      <c r="L286" s="2" t="s">
        <v>9</v>
      </c>
    </row>
    <row r="287" spans="1:12" x14ac:dyDescent="0.25">
      <c r="A287" s="5">
        <v>45911</v>
      </c>
      <c r="B287" t="s">
        <v>31</v>
      </c>
      <c r="C287" t="s">
        <v>187</v>
      </c>
      <c r="D287" t="s">
        <v>45</v>
      </c>
      <c r="F287" s="6">
        <v>58291</v>
      </c>
      <c r="I287" t="s">
        <v>188</v>
      </c>
      <c r="J287" s="6">
        <v>420000</v>
      </c>
    </row>
    <row r="288" spans="1:12" x14ac:dyDescent="0.25">
      <c r="I288" t="s">
        <v>189</v>
      </c>
      <c r="J288" s="6">
        <v>800000</v>
      </c>
    </row>
    <row r="289" spans="1:12" x14ac:dyDescent="0.25">
      <c r="I289" t="s">
        <v>21</v>
      </c>
      <c r="J289" s="6">
        <v>22000</v>
      </c>
    </row>
    <row r="291" spans="1:12" x14ac:dyDescent="0.25">
      <c r="I291" t="s">
        <v>22</v>
      </c>
      <c r="J291" s="6">
        <f>SUM(J287:J290)</f>
        <v>1242000</v>
      </c>
    </row>
    <row r="293" spans="1:12" x14ac:dyDescent="0.25">
      <c r="A293" s="1" t="s">
        <v>0</v>
      </c>
      <c r="B293" s="1" t="s">
        <v>1</v>
      </c>
      <c r="C293" s="1" t="s">
        <v>2</v>
      </c>
      <c r="D293" s="1" t="s">
        <v>3</v>
      </c>
      <c r="E293" s="1" t="s">
        <v>4</v>
      </c>
      <c r="F293" s="2" t="s">
        <v>5</v>
      </c>
      <c r="G293" s="3" t="s">
        <v>6</v>
      </c>
      <c r="H293" s="3" t="s">
        <v>7</v>
      </c>
      <c r="I293" s="4" t="s">
        <v>8</v>
      </c>
      <c r="J293" s="2" t="s">
        <v>9</v>
      </c>
      <c r="K293" s="3" t="s">
        <v>10</v>
      </c>
      <c r="L293" s="2" t="s">
        <v>9</v>
      </c>
    </row>
    <row r="294" spans="1:12" x14ac:dyDescent="0.25">
      <c r="A294" s="5">
        <v>45911</v>
      </c>
      <c r="B294" t="s">
        <v>48</v>
      </c>
      <c r="C294" t="s">
        <v>49</v>
      </c>
      <c r="D294" t="s">
        <v>45</v>
      </c>
      <c r="F294" s="6">
        <v>37563</v>
      </c>
      <c r="G294" t="s">
        <v>199</v>
      </c>
      <c r="H294">
        <v>3125419984</v>
      </c>
      <c r="I294" t="s">
        <v>200</v>
      </c>
      <c r="J294" s="6">
        <v>380000</v>
      </c>
    </row>
    <row r="295" spans="1:12" x14ac:dyDescent="0.25">
      <c r="I295" t="s">
        <v>201</v>
      </c>
      <c r="J295" s="6">
        <v>30000</v>
      </c>
    </row>
    <row r="297" spans="1:12" x14ac:dyDescent="0.25">
      <c r="I297" t="s">
        <v>22</v>
      </c>
      <c r="J297" s="6">
        <f>SUM(J294:J296)</f>
        <v>410000</v>
      </c>
    </row>
    <row r="299" spans="1:12" x14ac:dyDescent="0.25">
      <c r="A299" s="1" t="s">
        <v>0</v>
      </c>
      <c r="B299" s="1" t="s">
        <v>1</v>
      </c>
      <c r="C299" s="1" t="s">
        <v>2</v>
      </c>
      <c r="D299" s="1" t="s">
        <v>3</v>
      </c>
      <c r="E299" s="1" t="s">
        <v>4</v>
      </c>
      <c r="F299" s="2" t="s">
        <v>5</v>
      </c>
      <c r="G299" s="3" t="s">
        <v>6</v>
      </c>
      <c r="H299" s="3" t="s">
        <v>7</v>
      </c>
      <c r="I299" s="4" t="s">
        <v>8</v>
      </c>
      <c r="J299" s="2" t="s">
        <v>9</v>
      </c>
      <c r="K299" s="3" t="s">
        <v>10</v>
      </c>
      <c r="L299" s="2" t="s">
        <v>9</v>
      </c>
    </row>
    <row r="300" spans="1:12" x14ac:dyDescent="0.25">
      <c r="A300" s="5">
        <v>45912</v>
      </c>
      <c r="B300" t="s">
        <v>202</v>
      </c>
      <c r="C300" t="s">
        <v>203</v>
      </c>
      <c r="D300" t="s">
        <v>12</v>
      </c>
      <c r="E300">
        <v>2016</v>
      </c>
      <c r="F300" s="6">
        <v>65348</v>
      </c>
      <c r="G300" t="s">
        <v>204</v>
      </c>
      <c r="H300">
        <v>3125949345</v>
      </c>
      <c r="I300" t="s">
        <v>21</v>
      </c>
      <c r="J300" s="6">
        <v>25000</v>
      </c>
    </row>
    <row r="301" spans="1:12" x14ac:dyDescent="0.25">
      <c r="I301" t="s">
        <v>70</v>
      </c>
      <c r="J301" s="6">
        <v>320000</v>
      </c>
    </row>
    <row r="302" spans="1:12" x14ac:dyDescent="0.25">
      <c r="I302" t="s">
        <v>205</v>
      </c>
      <c r="J302" s="6">
        <v>30000</v>
      </c>
    </row>
    <row r="304" spans="1:12" x14ac:dyDescent="0.25">
      <c r="I304" t="s">
        <v>22</v>
      </c>
      <c r="J304" s="6">
        <f>SUM(J300:J303)</f>
        <v>375000</v>
      </c>
    </row>
    <row r="306" spans="1:12" x14ac:dyDescent="0.25">
      <c r="A306" s="1" t="s">
        <v>0</v>
      </c>
      <c r="B306" s="1" t="s">
        <v>1</v>
      </c>
      <c r="C306" s="1" t="s">
        <v>2</v>
      </c>
      <c r="D306" s="1" t="s">
        <v>3</v>
      </c>
      <c r="E306" s="1" t="s">
        <v>4</v>
      </c>
      <c r="F306" s="2" t="s">
        <v>5</v>
      </c>
      <c r="G306" s="3" t="s">
        <v>6</v>
      </c>
      <c r="H306" s="3" t="s">
        <v>7</v>
      </c>
      <c r="I306" s="4" t="s">
        <v>8</v>
      </c>
      <c r="J306" s="2" t="s">
        <v>9</v>
      </c>
      <c r="K306" s="3" t="s">
        <v>10</v>
      </c>
      <c r="L306" s="2" t="s">
        <v>9</v>
      </c>
    </row>
    <row r="307" spans="1:12" x14ac:dyDescent="0.25">
      <c r="A307" s="5">
        <v>45913</v>
      </c>
      <c r="B307" t="s">
        <v>206</v>
      </c>
      <c r="C307" t="s">
        <v>207</v>
      </c>
      <c r="D307" t="s">
        <v>25</v>
      </c>
      <c r="F307" s="6">
        <v>22033</v>
      </c>
      <c r="I307" t="s">
        <v>61</v>
      </c>
      <c r="J307" s="6">
        <v>15000</v>
      </c>
    </row>
    <row r="308" spans="1:12" x14ac:dyDescent="0.25">
      <c r="I308" t="s">
        <v>34</v>
      </c>
      <c r="J308" s="6">
        <v>65000</v>
      </c>
    </row>
    <row r="309" spans="1:12" x14ac:dyDescent="0.25">
      <c r="I309" t="s">
        <v>19</v>
      </c>
      <c r="J309" s="6">
        <v>18000</v>
      </c>
    </row>
    <row r="310" spans="1:12" x14ac:dyDescent="0.25">
      <c r="I310" t="s">
        <v>208</v>
      </c>
      <c r="J310" s="6">
        <v>15000</v>
      </c>
    </row>
    <row r="311" spans="1:12" x14ac:dyDescent="0.25">
      <c r="I311" t="s">
        <v>150</v>
      </c>
      <c r="J311" s="6">
        <v>80000</v>
      </c>
    </row>
    <row r="312" spans="1:12" x14ac:dyDescent="0.25">
      <c r="I312" t="s">
        <v>61</v>
      </c>
      <c r="J312" s="6">
        <v>40000</v>
      </c>
    </row>
    <row r="314" spans="1:12" x14ac:dyDescent="0.25">
      <c r="I314" t="s">
        <v>22</v>
      </c>
      <c r="J314" s="6">
        <f>SUM(J307:J313)</f>
        <v>233000</v>
      </c>
    </row>
    <row r="316" spans="1:12" x14ac:dyDescent="0.25">
      <c r="A316" s="1" t="s">
        <v>0</v>
      </c>
      <c r="B316" s="1" t="s">
        <v>1</v>
      </c>
      <c r="C316" s="1" t="s">
        <v>2</v>
      </c>
      <c r="D316" s="1" t="s">
        <v>3</v>
      </c>
      <c r="E316" s="1" t="s">
        <v>4</v>
      </c>
      <c r="F316" s="2" t="s">
        <v>5</v>
      </c>
      <c r="G316" s="3" t="s">
        <v>6</v>
      </c>
      <c r="H316" s="3" t="s">
        <v>7</v>
      </c>
      <c r="I316" s="4" t="s">
        <v>8</v>
      </c>
      <c r="J316" s="2" t="s">
        <v>9</v>
      </c>
      <c r="K316" s="3" t="s">
        <v>10</v>
      </c>
      <c r="L316" s="2" t="s">
        <v>9</v>
      </c>
    </row>
    <row r="317" spans="1:12" x14ac:dyDescent="0.25">
      <c r="A317" s="5">
        <v>45913</v>
      </c>
      <c r="B317" t="s">
        <v>110</v>
      </c>
      <c r="C317" t="s">
        <v>1193</v>
      </c>
      <c r="D317" t="s">
        <v>25</v>
      </c>
      <c r="E317">
        <v>2018</v>
      </c>
      <c r="F317" s="6">
        <v>99000</v>
      </c>
      <c r="G317" t="s">
        <v>1194</v>
      </c>
      <c r="H317">
        <v>3112602266</v>
      </c>
      <c r="I317" t="s">
        <v>1195</v>
      </c>
    </row>
    <row r="319" spans="1:12" x14ac:dyDescent="0.25">
      <c r="I319" t="s">
        <v>22</v>
      </c>
    </row>
    <row r="321" spans="1:12" x14ac:dyDescent="0.25">
      <c r="A321" s="1" t="s">
        <v>0</v>
      </c>
      <c r="B321" s="1" t="s">
        <v>1</v>
      </c>
      <c r="C321" s="1" t="s">
        <v>2</v>
      </c>
      <c r="D321" s="1" t="s">
        <v>3</v>
      </c>
      <c r="E321" s="1" t="s">
        <v>4</v>
      </c>
      <c r="F321" s="2" t="s">
        <v>5</v>
      </c>
      <c r="G321" s="3" t="s">
        <v>6</v>
      </c>
      <c r="H321" s="3" t="s">
        <v>7</v>
      </c>
      <c r="I321" s="4" t="s">
        <v>8</v>
      </c>
      <c r="J321" s="2" t="s">
        <v>9</v>
      </c>
      <c r="K321" s="3" t="s">
        <v>10</v>
      </c>
      <c r="L321" s="2" t="s">
        <v>9</v>
      </c>
    </row>
    <row r="322" spans="1:12" x14ac:dyDescent="0.25">
      <c r="A322" s="5">
        <v>45913</v>
      </c>
      <c r="B322" t="s">
        <v>209</v>
      </c>
      <c r="C322" t="s">
        <v>210</v>
      </c>
      <c r="D322" t="s">
        <v>12</v>
      </c>
      <c r="F322" s="6">
        <v>14812</v>
      </c>
      <c r="I322" t="s">
        <v>211</v>
      </c>
      <c r="J322" s="6">
        <v>50000</v>
      </c>
    </row>
    <row r="324" spans="1:12" x14ac:dyDescent="0.25">
      <c r="I324" t="s">
        <v>22</v>
      </c>
      <c r="J324" s="6">
        <f>SUM(J322:J323)</f>
        <v>50000</v>
      </c>
    </row>
    <row r="326" spans="1:12" x14ac:dyDescent="0.25">
      <c r="A326" s="1" t="s">
        <v>0</v>
      </c>
      <c r="B326" s="1" t="s">
        <v>1</v>
      </c>
      <c r="C326" s="1" t="s">
        <v>2</v>
      </c>
      <c r="D326" s="1" t="s">
        <v>3</v>
      </c>
      <c r="E326" s="1" t="s">
        <v>4</v>
      </c>
      <c r="F326" s="2" t="s">
        <v>5</v>
      </c>
      <c r="G326" s="3" t="s">
        <v>6</v>
      </c>
      <c r="H326" s="3" t="s">
        <v>7</v>
      </c>
      <c r="I326" s="4" t="s">
        <v>8</v>
      </c>
      <c r="J326" s="2" t="s">
        <v>9</v>
      </c>
      <c r="K326" s="3" t="s">
        <v>10</v>
      </c>
      <c r="L326" s="2" t="s">
        <v>9</v>
      </c>
    </row>
    <row r="327" spans="1:12" x14ac:dyDescent="0.25">
      <c r="A327" s="5">
        <v>45913</v>
      </c>
      <c r="B327" t="s">
        <v>31</v>
      </c>
      <c r="C327" t="s">
        <v>212</v>
      </c>
      <c r="D327" t="s">
        <v>45</v>
      </c>
      <c r="F327" s="6">
        <v>104039</v>
      </c>
      <c r="G327" t="s">
        <v>213</v>
      </c>
      <c r="I327" t="s">
        <v>122</v>
      </c>
      <c r="J327" s="6">
        <v>150000</v>
      </c>
    </row>
    <row r="328" spans="1:12" x14ac:dyDescent="0.25">
      <c r="I328" t="s">
        <v>34</v>
      </c>
      <c r="J328" s="6">
        <v>240000</v>
      </c>
    </row>
    <row r="329" spans="1:12" x14ac:dyDescent="0.25">
      <c r="I329" t="s">
        <v>19</v>
      </c>
      <c r="J329" s="6">
        <v>46000</v>
      </c>
    </row>
    <row r="331" spans="1:12" x14ac:dyDescent="0.25">
      <c r="I331" t="s">
        <v>22</v>
      </c>
      <c r="J331" s="6">
        <f>SUM(J327:J330)</f>
        <v>436000</v>
      </c>
    </row>
    <row r="333" spans="1:12" x14ac:dyDescent="0.25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4</v>
      </c>
      <c r="F333" s="2" t="s">
        <v>5</v>
      </c>
      <c r="G333" s="3" t="s">
        <v>6</v>
      </c>
      <c r="H333" s="3" t="s">
        <v>7</v>
      </c>
      <c r="I333" s="4" t="s">
        <v>8</v>
      </c>
      <c r="J333" s="2" t="s">
        <v>9</v>
      </c>
      <c r="K333" s="3" t="s">
        <v>10</v>
      </c>
      <c r="L333" s="2" t="s">
        <v>9</v>
      </c>
    </row>
    <row r="334" spans="1:12" x14ac:dyDescent="0.25">
      <c r="A334" s="5">
        <v>45915</v>
      </c>
      <c r="B334" t="s">
        <v>214</v>
      </c>
      <c r="C334" t="s">
        <v>215</v>
      </c>
      <c r="D334" t="s">
        <v>25</v>
      </c>
      <c r="E334">
        <v>2024</v>
      </c>
      <c r="F334" s="6">
        <v>18749</v>
      </c>
      <c r="G334" t="s">
        <v>323</v>
      </c>
      <c r="H334">
        <v>3223924291</v>
      </c>
      <c r="I334" t="s">
        <v>70</v>
      </c>
      <c r="J334" s="6">
        <v>320000</v>
      </c>
    </row>
    <row r="335" spans="1:12" x14ac:dyDescent="0.25">
      <c r="I335" t="s">
        <v>107</v>
      </c>
      <c r="J335" s="6">
        <v>45000</v>
      </c>
    </row>
    <row r="336" spans="1:12" x14ac:dyDescent="0.25">
      <c r="I336" t="s">
        <v>21</v>
      </c>
      <c r="J336" s="6">
        <v>25000</v>
      </c>
    </row>
    <row r="337" spans="1:12" x14ac:dyDescent="0.25">
      <c r="I337" t="s">
        <v>216</v>
      </c>
      <c r="J337" s="6">
        <v>20000</v>
      </c>
    </row>
    <row r="339" spans="1:12" x14ac:dyDescent="0.25">
      <c r="I339" t="s">
        <v>22</v>
      </c>
      <c r="J339" s="6">
        <f>SUM(J334:J338)</f>
        <v>410000</v>
      </c>
    </row>
    <row r="341" spans="1:12" x14ac:dyDescent="0.25">
      <c r="A341" s="1" t="s">
        <v>0</v>
      </c>
      <c r="B341" s="1" t="s">
        <v>1</v>
      </c>
      <c r="C341" s="1" t="s">
        <v>2</v>
      </c>
      <c r="D341" s="1" t="s">
        <v>3</v>
      </c>
      <c r="E341" s="1" t="s">
        <v>4</v>
      </c>
      <c r="F341" s="2" t="s">
        <v>5</v>
      </c>
      <c r="G341" s="3" t="s">
        <v>6</v>
      </c>
      <c r="H341" s="3" t="s">
        <v>7</v>
      </c>
      <c r="I341" s="4" t="s">
        <v>8</v>
      </c>
      <c r="J341" s="2" t="s">
        <v>9</v>
      </c>
      <c r="K341" s="3" t="s">
        <v>10</v>
      </c>
      <c r="L341" s="2" t="s">
        <v>9</v>
      </c>
    </row>
    <row r="342" spans="1:12" x14ac:dyDescent="0.25">
      <c r="A342" s="5">
        <v>45915</v>
      </c>
      <c r="B342" t="s">
        <v>217</v>
      </c>
      <c r="C342" t="s">
        <v>218</v>
      </c>
      <c r="D342" t="s">
        <v>12</v>
      </c>
      <c r="F342" s="6">
        <v>30651</v>
      </c>
      <c r="G342" t="s">
        <v>219</v>
      </c>
      <c r="I342" t="s">
        <v>220</v>
      </c>
    </row>
    <row r="343" spans="1:12" x14ac:dyDescent="0.25">
      <c r="I343" t="s">
        <v>221</v>
      </c>
      <c r="J343" s="6">
        <v>60000</v>
      </c>
    </row>
    <row r="344" spans="1:12" x14ac:dyDescent="0.25">
      <c r="I344" t="s">
        <v>61</v>
      </c>
      <c r="J344" s="6">
        <v>120000</v>
      </c>
    </row>
    <row r="346" spans="1:12" x14ac:dyDescent="0.25">
      <c r="I346" t="s">
        <v>22</v>
      </c>
      <c r="J346" s="6">
        <f>SUM(J342:J345)</f>
        <v>180000</v>
      </c>
    </row>
    <row r="348" spans="1:12" x14ac:dyDescent="0.25">
      <c r="A348" s="1" t="s">
        <v>0</v>
      </c>
      <c r="B348" s="1" t="s">
        <v>1</v>
      </c>
      <c r="C348" s="1" t="s">
        <v>2</v>
      </c>
      <c r="D348" s="1" t="s">
        <v>3</v>
      </c>
      <c r="E348" s="1" t="s">
        <v>4</v>
      </c>
      <c r="F348" s="2" t="s">
        <v>5</v>
      </c>
      <c r="G348" s="3" t="s">
        <v>6</v>
      </c>
      <c r="H348" s="3" t="s">
        <v>7</v>
      </c>
      <c r="I348" s="4" t="s">
        <v>8</v>
      </c>
      <c r="J348" s="2" t="s">
        <v>9</v>
      </c>
      <c r="K348" s="3" t="s">
        <v>10</v>
      </c>
      <c r="L348" s="2" t="s">
        <v>9</v>
      </c>
    </row>
    <row r="349" spans="1:12" x14ac:dyDescent="0.25">
      <c r="A349" s="5">
        <v>45905</v>
      </c>
      <c r="B349" t="s">
        <v>222</v>
      </c>
      <c r="D349" t="s">
        <v>25</v>
      </c>
      <c r="G349" t="s">
        <v>223</v>
      </c>
      <c r="I349" t="s">
        <v>18</v>
      </c>
    </row>
    <row r="350" spans="1:12" x14ac:dyDescent="0.25">
      <c r="I350" t="s">
        <v>224</v>
      </c>
    </row>
    <row r="352" spans="1:12" x14ac:dyDescent="0.25">
      <c r="I352" t="s">
        <v>22</v>
      </c>
    </row>
    <row r="354" spans="1:12" x14ac:dyDescent="0.25">
      <c r="A354" s="1" t="s">
        <v>0</v>
      </c>
      <c r="B354" s="1" t="s">
        <v>1</v>
      </c>
      <c r="C354" s="1" t="s">
        <v>2</v>
      </c>
      <c r="D354" s="1" t="s">
        <v>3</v>
      </c>
      <c r="E354" s="1" t="s">
        <v>4</v>
      </c>
      <c r="F354" s="2" t="s">
        <v>5</v>
      </c>
      <c r="G354" s="3" t="s">
        <v>6</v>
      </c>
      <c r="H354" s="3" t="s">
        <v>7</v>
      </c>
      <c r="I354" s="4" t="s">
        <v>8</v>
      </c>
      <c r="J354" s="2" t="s">
        <v>9</v>
      </c>
      <c r="K354" s="3" t="s">
        <v>10</v>
      </c>
      <c r="L354" s="2" t="s">
        <v>9</v>
      </c>
    </row>
    <row r="355" spans="1:12" x14ac:dyDescent="0.25">
      <c r="A355" s="5">
        <v>45915</v>
      </c>
      <c r="B355" t="s">
        <v>225</v>
      </c>
      <c r="C355" t="s">
        <v>226</v>
      </c>
      <c r="D355" t="s">
        <v>227</v>
      </c>
      <c r="F355" s="6">
        <v>7828</v>
      </c>
      <c r="G355" t="s">
        <v>228</v>
      </c>
      <c r="I355" t="s">
        <v>34</v>
      </c>
      <c r="J355" s="6">
        <v>50000</v>
      </c>
    </row>
    <row r="356" spans="1:12" x14ac:dyDescent="0.25">
      <c r="I356" t="s">
        <v>198</v>
      </c>
      <c r="J356" s="6">
        <v>40000</v>
      </c>
    </row>
    <row r="357" spans="1:12" x14ac:dyDescent="0.25">
      <c r="I357" t="s">
        <v>61</v>
      </c>
      <c r="J357" s="6">
        <v>10000</v>
      </c>
    </row>
    <row r="359" spans="1:12" x14ac:dyDescent="0.25">
      <c r="I359" t="s">
        <v>22</v>
      </c>
      <c r="J359" s="6">
        <f>SUM(J355:J358)</f>
        <v>100000</v>
      </c>
    </row>
    <row r="361" spans="1:12" x14ac:dyDescent="0.25">
      <c r="A361" s="1" t="s">
        <v>0</v>
      </c>
      <c r="B361" s="1" t="s">
        <v>1</v>
      </c>
      <c r="C361" s="1" t="s">
        <v>2</v>
      </c>
      <c r="D361" s="1" t="s">
        <v>3</v>
      </c>
      <c r="E361" s="1" t="s">
        <v>4</v>
      </c>
      <c r="F361" s="2" t="s">
        <v>5</v>
      </c>
      <c r="G361" s="3" t="s">
        <v>6</v>
      </c>
      <c r="H361" s="3" t="s">
        <v>7</v>
      </c>
      <c r="I361" s="4" t="s">
        <v>8</v>
      </c>
      <c r="J361" s="2" t="s">
        <v>9</v>
      </c>
      <c r="K361" s="3" t="s">
        <v>10</v>
      </c>
      <c r="L361" s="2" t="s">
        <v>9</v>
      </c>
    </row>
    <row r="362" spans="1:12" x14ac:dyDescent="0.25">
      <c r="A362" s="5">
        <v>45916</v>
      </c>
      <c r="B362" t="s">
        <v>229</v>
      </c>
      <c r="C362" t="s">
        <v>230</v>
      </c>
      <c r="D362" t="s">
        <v>25</v>
      </c>
      <c r="F362" s="6">
        <v>28218</v>
      </c>
      <c r="G362" t="s">
        <v>231</v>
      </c>
      <c r="I362" t="s">
        <v>70</v>
      </c>
    </row>
    <row r="363" spans="1:12" x14ac:dyDescent="0.25">
      <c r="I363" t="s">
        <v>21</v>
      </c>
    </row>
    <row r="365" spans="1:12" x14ac:dyDescent="0.25">
      <c r="I365" t="s">
        <v>22</v>
      </c>
      <c r="J365" s="6">
        <v>180000</v>
      </c>
    </row>
    <row r="367" spans="1:12" x14ac:dyDescent="0.25">
      <c r="A367" s="1" t="s">
        <v>0</v>
      </c>
      <c r="B367" s="1" t="s">
        <v>1</v>
      </c>
      <c r="C367" s="1" t="s">
        <v>2</v>
      </c>
      <c r="D367" s="1" t="s">
        <v>3</v>
      </c>
      <c r="E367" s="1" t="s">
        <v>4</v>
      </c>
      <c r="F367" s="2" t="s">
        <v>5</v>
      </c>
      <c r="G367" s="3" t="s">
        <v>6</v>
      </c>
      <c r="H367" s="3" t="s">
        <v>7</v>
      </c>
      <c r="I367" s="4" t="s">
        <v>8</v>
      </c>
      <c r="J367" s="2" t="s">
        <v>9</v>
      </c>
      <c r="K367" s="3" t="s">
        <v>10</v>
      </c>
      <c r="L367" s="2" t="s">
        <v>9</v>
      </c>
    </row>
    <row r="368" spans="1:12" x14ac:dyDescent="0.25">
      <c r="A368" s="5">
        <v>45917</v>
      </c>
      <c r="B368" t="s">
        <v>243</v>
      </c>
      <c r="D368" t="s">
        <v>244</v>
      </c>
      <c r="I368" t="s">
        <v>18</v>
      </c>
      <c r="J368" s="6">
        <v>90000</v>
      </c>
    </row>
    <row r="369" spans="1:12" x14ac:dyDescent="0.25">
      <c r="I369" t="s">
        <v>245</v>
      </c>
      <c r="J369" s="6">
        <v>30000</v>
      </c>
    </row>
    <row r="371" spans="1:12" x14ac:dyDescent="0.25">
      <c r="I371" t="s">
        <v>22</v>
      </c>
      <c r="J371" s="6">
        <f>SUM(J368:J370)</f>
        <v>120000</v>
      </c>
    </row>
    <row r="373" spans="1:12" x14ac:dyDescent="0.25">
      <c r="A373" s="1" t="s">
        <v>0</v>
      </c>
      <c r="B373" s="1" t="s">
        <v>1</v>
      </c>
      <c r="C373" s="1" t="s">
        <v>2</v>
      </c>
      <c r="D373" s="1" t="s">
        <v>3</v>
      </c>
      <c r="E373" s="1" t="s">
        <v>4</v>
      </c>
      <c r="F373" s="2" t="s">
        <v>5</v>
      </c>
      <c r="G373" s="3" t="s">
        <v>6</v>
      </c>
      <c r="H373" s="3" t="s">
        <v>7</v>
      </c>
      <c r="I373" s="4" t="s">
        <v>8</v>
      </c>
      <c r="J373" s="2" t="s">
        <v>9</v>
      </c>
      <c r="K373" s="3" t="s">
        <v>10</v>
      </c>
      <c r="L373" s="2" t="s">
        <v>9</v>
      </c>
    </row>
    <row r="374" spans="1:12" x14ac:dyDescent="0.25">
      <c r="A374" s="5">
        <v>45917</v>
      </c>
      <c r="B374" t="s">
        <v>38</v>
      </c>
      <c r="C374" t="s">
        <v>246</v>
      </c>
      <c r="D374" t="s">
        <v>25</v>
      </c>
      <c r="F374" s="6">
        <v>32495</v>
      </c>
      <c r="I374" t="s">
        <v>127</v>
      </c>
      <c r="J374" s="6">
        <v>30000</v>
      </c>
    </row>
    <row r="375" spans="1:12" x14ac:dyDescent="0.25">
      <c r="I375" t="s">
        <v>19</v>
      </c>
      <c r="J375" s="6">
        <v>46000</v>
      </c>
    </row>
    <row r="377" spans="1:12" x14ac:dyDescent="0.25">
      <c r="I377" t="s">
        <v>22</v>
      </c>
      <c r="J377" s="6">
        <f>SUM(J374:J376)</f>
        <v>76000</v>
      </c>
    </row>
    <row r="379" spans="1:12" x14ac:dyDescent="0.25">
      <c r="A379" s="1" t="s">
        <v>0</v>
      </c>
      <c r="B379" s="1" t="s">
        <v>1</v>
      </c>
      <c r="C379" s="1" t="s">
        <v>2</v>
      </c>
      <c r="D379" s="1" t="s">
        <v>3</v>
      </c>
      <c r="E379" s="1" t="s">
        <v>4</v>
      </c>
      <c r="F379" s="2" t="s">
        <v>5</v>
      </c>
      <c r="G379" s="3" t="s">
        <v>6</v>
      </c>
      <c r="H379" s="3" t="s">
        <v>7</v>
      </c>
      <c r="I379" s="4" t="s">
        <v>8</v>
      </c>
      <c r="J379" s="2" t="s">
        <v>9</v>
      </c>
      <c r="K379" s="3" t="s">
        <v>10</v>
      </c>
      <c r="L379" s="2" t="s">
        <v>9</v>
      </c>
    </row>
    <row r="380" spans="1:12" x14ac:dyDescent="0.25">
      <c r="A380" s="5">
        <v>45917</v>
      </c>
      <c r="B380" t="s">
        <v>775</v>
      </c>
      <c r="C380" t="s">
        <v>776</v>
      </c>
      <c r="D380" t="s">
        <v>25</v>
      </c>
      <c r="G380" t="s">
        <v>777</v>
      </c>
      <c r="H380">
        <v>3103531412</v>
      </c>
      <c r="I380" t="s">
        <v>778</v>
      </c>
    </row>
    <row r="381" spans="1:12" x14ac:dyDescent="0.25">
      <c r="I381" t="s">
        <v>779</v>
      </c>
    </row>
    <row r="383" spans="1:12" x14ac:dyDescent="0.25">
      <c r="I383" t="s">
        <v>22</v>
      </c>
    </row>
    <row r="385" spans="1:12" x14ac:dyDescent="0.25">
      <c r="A385" s="1" t="s">
        <v>0</v>
      </c>
      <c r="B385" s="1" t="s">
        <v>1</v>
      </c>
      <c r="C385" s="1" t="s">
        <v>2</v>
      </c>
      <c r="D385" s="1" t="s">
        <v>3</v>
      </c>
      <c r="E385" s="1" t="s">
        <v>4</v>
      </c>
      <c r="F385" s="2" t="s">
        <v>5</v>
      </c>
      <c r="G385" s="3" t="s">
        <v>6</v>
      </c>
      <c r="H385" s="3" t="s">
        <v>7</v>
      </c>
      <c r="I385" s="4" t="s">
        <v>8</v>
      </c>
      <c r="J385" s="2" t="s">
        <v>9</v>
      </c>
      <c r="K385" s="3" t="s">
        <v>10</v>
      </c>
      <c r="L385" s="2" t="s">
        <v>9</v>
      </c>
    </row>
    <row r="386" spans="1:12" x14ac:dyDescent="0.25">
      <c r="A386" s="5">
        <v>45918</v>
      </c>
      <c r="B386" t="s">
        <v>232</v>
      </c>
      <c r="C386" t="s">
        <v>233</v>
      </c>
      <c r="D386" t="s">
        <v>138</v>
      </c>
      <c r="E386">
        <v>2018</v>
      </c>
      <c r="F386" s="6">
        <v>47174</v>
      </c>
      <c r="G386" t="s">
        <v>234</v>
      </c>
      <c r="H386">
        <v>3214704262</v>
      </c>
      <c r="I386" t="s">
        <v>235</v>
      </c>
      <c r="J386" s="6">
        <v>100000</v>
      </c>
    </row>
    <row r="387" spans="1:12" x14ac:dyDescent="0.25">
      <c r="A387" s="5"/>
      <c r="I387" t="s">
        <v>19</v>
      </c>
      <c r="J387" s="6">
        <v>63000</v>
      </c>
    </row>
    <row r="388" spans="1:12" x14ac:dyDescent="0.25">
      <c r="I388" t="s">
        <v>236</v>
      </c>
      <c r="J388" s="6">
        <v>40000</v>
      </c>
    </row>
    <row r="389" spans="1:12" x14ac:dyDescent="0.25">
      <c r="I389" t="s">
        <v>151</v>
      </c>
      <c r="J389" s="6">
        <v>120000</v>
      </c>
    </row>
    <row r="391" spans="1:12" x14ac:dyDescent="0.25">
      <c r="I391" t="s">
        <v>22</v>
      </c>
      <c r="J391" s="6">
        <f>SUM(J386:J390)</f>
        <v>323000</v>
      </c>
    </row>
    <row r="393" spans="1:12" x14ac:dyDescent="0.25">
      <c r="A393" s="1" t="s">
        <v>0</v>
      </c>
      <c r="B393" s="1" t="s">
        <v>1</v>
      </c>
      <c r="C393" s="1" t="s">
        <v>2</v>
      </c>
      <c r="D393" s="1" t="s">
        <v>3</v>
      </c>
      <c r="E393" s="1" t="s">
        <v>4</v>
      </c>
      <c r="F393" s="2" t="s">
        <v>5</v>
      </c>
      <c r="G393" s="3" t="s">
        <v>6</v>
      </c>
      <c r="H393" s="3" t="s">
        <v>7</v>
      </c>
      <c r="I393" s="4" t="s">
        <v>8</v>
      </c>
      <c r="J393" s="2" t="s">
        <v>9</v>
      </c>
      <c r="K393" s="3" t="s">
        <v>10</v>
      </c>
      <c r="L393" s="2" t="s">
        <v>9</v>
      </c>
    </row>
    <row r="394" spans="1:12" x14ac:dyDescent="0.25">
      <c r="A394" s="5">
        <v>45918</v>
      </c>
      <c r="B394" t="s">
        <v>237</v>
      </c>
      <c r="C394" t="s">
        <v>238</v>
      </c>
      <c r="D394" t="s">
        <v>138</v>
      </c>
      <c r="E394">
        <v>2023</v>
      </c>
      <c r="F394" s="6">
        <v>32883</v>
      </c>
      <c r="G394" t="s">
        <v>239</v>
      </c>
      <c r="I394" t="s">
        <v>40</v>
      </c>
      <c r="J394" s="6">
        <v>350000</v>
      </c>
    </row>
    <row r="395" spans="1:12" x14ac:dyDescent="0.25">
      <c r="I395" t="s">
        <v>21</v>
      </c>
      <c r="J395" s="6">
        <v>25000</v>
      </c>
    </row>
    <row r="396" spans="1:12" x14ac:dyDescent="0.25">
      <c r="I396" t="s">
        <v>240</v>
      </c>
      <c r="J396" s="6">
        <v>40000</v>
      </c>
    </row>
    <row r="397" spans="1:12" x14ac:dyDescent="0.25">
      <c r="I397" t="s">
        <v>241</v>
      </c>
      <c r="J397" s="6">
        <v>120000</v>
      </c>
    </row>
    <row r="398" spans="1:12" x14ac:dyDescent="0.25">
      <c r="I398" t="s">
        <v>242</v>
      </c>
      <c r="J398" s="6">
        <v>30000</v>
      </c>
    </row>
    <row r="400" spans="1:12" x14ac:dyDescent="0.25">
      <c r="I400" t="s">
        <v>22</v>
      </c>
      <c r="J400" s="6">
        <f>SUM(J394:J399)</f>
        <v>565000</v>
      </c>
    </row>
    <row r="402" spans="1:12" x14ac:dyDescent="0.25">
      <c r="A402" s="1" t="s">
        <v>0</v>
      </c>
      <c r="B402" s="1" t="s">
        <v>1</v>
      </c>
      <c r="C402" s="1" t="s">
        <v>2</v>
      </c>
      <c r="D402" s="1" t="s">
        <v>3</v>
      </c>
      <c r="E402" s="1" t="s">
        <v>4</v>
      </c>
      <c r="F402" s="2" t="s">
        <v>5</v>
      </c>
      <c r="G402" s="3" t="s">
        <v>6</v>
      </c>
      <c r="H402" s="3" t="s">
        <v>7</v>
      </c>
      <c r="I402" s="4" t="s">
        <v>8</v>
      </c>
      <c r="J402" s="2" t="s">
        <v>9</v>
      </c>
      <c r="K402" s="3" t="s">
        <v>10</v>
      </c>
      <c r="L402" s="2" t="s">
        <v>9</v>
      </c>
    </row>
    <row r="403" spans="1:12" x14ac:dyDescent="0.25">
      <c r="A403" s="5">
        <v>45918</v>
      </c>
      <c r="B403" t="s">
        <v>185</v>
      </c>
      <c r="D403" t="s">
        <v>45</v>
      </c>
      <c r="G403" t="s">
        <v>186</v>
      </c>
      <c r="I403" t="s">
        <v>179</v>
      </c>
      <c r="J403" s="6">
        <v>96000</v>
      </c>
    </row>
    <row r="404" spans="1:12" x14ac:dyDescent="0.25">
      <c r="I404" t="s">
        <v>180</v>
      </c>
      <c r="J404" s="6">
        <v>9700</v>
      </c>
    </row>
    <row r="405" spans="1:12" x14ac:dyDescent="0.25">
      <c r="I405" t="s">
        <v>181</v>
      </c>
      <c r="J405" s="6">
        <v>39100</v>
      </c>
    </row>
    <row r="406" spans="1:12" x14ac:dyDescent="0.25">
      <c r="I406" t="s">
        <v>182</v>
      </c>
      <c r="J406" s="6">
        <v>118400</v>
      </c>
    </row>
    <row r="407" spans="1:12" x14ac:dyDescent="0.25">
      <c r="I407" t="s">
        <v>183</v>
      </c>
      <c r="J407" s="6">
        <v>280000</v>
      </c>
    </row>
    <row r="408" spans="1:12" x14ac:dyDescent="0.25">
      <c r="I408" t="s">
        <v>61</v>
      </c>
      <c r="J408" s="6">
        <v>150000</v>
      </c>
    </row>
    <row r="409" spans="1:12" x14ac:dyDescent="0.25">
      <c r="I409" t="s">
        <v>184</v>
      </c>
      <c r="J409" s="6">
        <v>122700</v>
      </c>
    </row>
    <row r="411" spans="1:12" x14ac:dyDescent="0.25">
      <c r="I411" t="s">
        <v>22</v>
      </c>
      <c r="J411" s="6">
        <f>SUM(J403:J410)</f>
        <v>815900</v>
      </c>
    </row>
    <row r="413" spans="1:12" x14ac:dyDescent="0.25">
      <c r="A413" s="1" t="s">
        <v>0</v>
      </c>
      <c r="B413" s="1" t="s">
        <v>1</v>
      </c>
      <c r="C413" s="1" t="s">
        <v>2</v>
      </c>
      <c r="D413" s="1" t="s">
        <v>3</v>
      </c>
      <c r="E413" s="1" t="s">
        <v>4</v>
      </c>
      <c r="F413" s="2" t="s">
        <v>5</v>
      </c>
      <c r="G413" s="3" t="s">
        <v>6</v>
      </c>
      <c r="H413" s="3" t="s">
        <v>7</v>
      </c>
      <c r="I413" s="4" t="s">
        <v>8</v>
      </c>
      <c r="J413" s="2" t="s">
        <v>9</v>
      </c>
      <c r="K413" s="3" t="s">
        <v>10</v>
      </c>
      <c r="L413" s="2" t="s">
        <v>9</v>
      </c>
    </row>
    <row r="414" spans="1:12" x14ac:dyDescent="0.25">
      <c r="A414" s="5">
        <v>45918</v>
      </c>
      <c r="B414" t="s">
        <v>31</v>
      </c>
      <c r="C414" t="s">
        <v>260</v>
      </c>
      <c r="D414" t="s">
        <v>45</v>
      </c>
      <c r="F414" s="6">
        <v>135803</v>
      </c>
      <c r="G414" t="s">
        <v>261</v>
      </c>
      <c r="I414" t="s">
        <v>262</v>
      </c>
      <c r="J414" s="6">
        <v>50000</v>
      </c>
    </row>
    <row r="415" spans="1:12" x14ac:dyDescent="0.25">
      <c r="I415" t="s">
        <v>263</v>
      </c>
      <c r="J415" s="6">
        <v>40000</v>
      </c>
    </row>
    <row r="416" spans="1:12" x14ac:dyDescent="0.25">
      <c r="I416" t="s">
        <v>264</v>
      </c>
      <c r="J416" s="6">
        <v>40000</v>
      </c>
    </row>
    <row r="417" spans="1:12" x14ac:dyDescent="0.25">
      <c r="I417" t="s">
        <v>265</v>
      </c>
      <c r="J417" s="6">
        <v>25000</v>
      </c>
    </row>
    <row r="418" spans="1:12" x14ac:dyDescent="0.25">
      <c r="I418" t="s">
        <v>266</v>
      </c>
      <c r="J418" s="6">
        <v>22000</v>
      </c>
    </row>
    <row r="419" spans="1:12" x14ac:dyDescent="0.25">
      <c r="I419" t="s">
        <v>267</v>
      </c>
      <c r="J419" s="6">
        <v>150000</v>
      </c>
    </row>
    <row r="421" spans="1:12" x14ac:dyDescent="0.25">
      <c r="I421" t="s">
        <v>22</v>
      </c>
      <c r="J421" s="6">
        <f>SUM(J414:J420)</f>
        <v>327000</v>
      </c>
    </row>
    <row r="423" spans="1:12" x14ac:dyDescent="0.25">
      <c r="A423" s="1" t="s">
        <v>0</v>
      </c>
      <c r="B423" s="1" t="s">
        <v>1</v>
      </c>
      <c r="C423" s="1" t="s">
        <v>2</v>
      </c>
      <c r="D423" s="1" t="s">
        <v>3</v>
      </c>
      <c r="E423" s="1" t="s">
        <v>4</v>
      </c>
      <c r="F423" s="2" t="s">
        <v>5</v>
      </c>
      <c r="G423" s="3" t="s">
        <v>6</v>
      </c>
      <c r="H423" s="3" t="s">
        <v>7</v>
      </c>
      <c r="I423" s="4" t="s">
        <v>8</v>
      </c>
      <c r="J423" s="2" t="s">
        <v>9</v>
      </c>
      <c r="K423" s="3" t="s">
        <v>10</v>
      </c>
      <c r="L423" s="2" t="s">
        <v>9</v>
      </c>
    </row>
    <row r="424" spans="1:12" x14ac:dyDescent="0.25">
      <c r="A424" s="5">
        <v>45918</v>
      </c>
      <c r="B424" t="s">
        <v>31</v>
      </c>
      <c r="C424" t="s">
        <v>268</v>
      </c>
      <c r="D424" t="s">
        <v>45</v>
      </c>
      <c r="E424">
        <v>2014</v>
      </c>
      <c r="F424" s="6">
        <v>87523</v>
      </c>
      <c r="G424" t="s">
        <v>269</v>
      </c>
      <c r="I424" t="s">
        <v>270</v>
      </c>
      <c r="J424" s="6">
        <v>250000</v>
      </c>
    </row>
    <row r="425" spans="1:12" x14ac:dyDescent="0.25">
      <c r="I425" t="s">
        <v>34</v>
      </c>
      <c r="J425" s="6">
        <v>200000</v>
      </c>
    </row>
    <row r="426" spans="1:12" x14ac:dyDescent="0.25">
      <c r="I426" t="s">
        <v>19</v>
      </c>
      <c r="J426" s="6">
        <v>46000</v>
      </c>
    </row>
    <row r="427" spans="1:12" x14ac:dyDescent="0.25">
      <c r="I427" t="s">
        <v>37</v>
      </c>
      <c r="J427" s="6">
        <v>40000</v>
      </c>
    </row>
    <row r="428" spans="1:12" x14ac:dyDescent="0.25">
      <c r="I428" t="s">
        <v>21</v>
      </c>
      <c r="J428" s="6">
        <v>25000</v>
      </c>
    </row>
    <row r="429" spans="1:12" x14ac:dyDescent="0.25">
      <c r="I429" t="s">
        <v>271</v>
      </c>
      <c r="J429" s="6">
        <v>150000</v>
      </c>
    </row>
    <row r="430" spans="1:12" x14ac:dyDescent="0.25">
      <c r="I430" t="s">
        <v>272</v>
      </c>
      <c r="J430" s="6">
        <v>32000</v>
      </c>
    </row>
    <row r="432" spans="1:12" x14ac:dyDescent="0.25">
      <c r="I432" t="s">
        <v>22</v>
      </c>
      <c r="J432" s="6">
        <f>SUM(J424:J431)</f>
        <v>743000</v>
      </c>
    </row>
    <row r="434" spans="1:12" x14ac:dyDescent="0.25">
      <c r="A434" s="1" t="s">
        <v>0</v>
      </c>
      <c r="B434" s="1" t="s">
        <v>1</v>
      </c>
      <c r="C434" s="1" t="s">
        <v>2</v>
      </c>
      <c r="D434" s="1" t="s">
        <v>3</v>
      </c>
      <c r="E434" s="1" t="s">
        <v>4</v>
      </c>
      <c r="F434" s="2" t="s">
        <v>5</v>
      </c>
      <c r="G434" s="3" t="s">
        <v>6</v>
      </c>
      <c r="H434" s="3" t="s">
        <v>7</v>
      </c>
      <c r="I434" s="4" t="s">
        <v>8</v>
      </c>
      <c r="J434" s="2" t="s">
        <v>9</v>
      </c>
      <c r="K434" s="3" t="s">
        <v>10</v>
      </c>
      <c r="L434" s="2" t="s">
        <v>9</v>
      </c>
    </row>
    <row r="435" spans="1:12" x14ac:dyDescent="0.25">
      <c r="A435" s="5">
        <v>45918</v>
      </c>
      <c r="B435" t="s">
        <v>273</v>
      </c>
      <c r="C435" t="s">
        <v>274</v>
      </c>
      <c r="D435" t="s">
        <v>138</v>
      </c>
      <c r="E435">
        <v>2020</v>
      </c>
      <c r="G435" t="s">
        <v>275</v>
      </c>
      <c r="H435">
        <v>3125861116</v>
      </c>
      <c r="I435" t="s">
        <v>61</v>
      </c>
      <c r="J435" s="6">
        <v>250000</v>
      </c>
    </row>
    <row r="437" spans="1:12" x14ac:dyDescent="0.25">
      <c r="I437" t="s">
        <v>22</v>
      </c>
      <c r="J437" s="6">
        <f>SUM(J435:J436)</f>
        <v>250000</v>
      </c>
    </row>
    <row r="439" spans="1:12" x14ac:dyDescent="0.25">
      <c r="A439" s="1" t="s">
        <v>0</v>
      </c>
      <c r="B439" s="1" t="s">
        <v>1</v>
      </c>
      <c r="C439" s="1" t="s">
        <v>2</v>
      </c>
      <c r="D439" s="1" t="s">
        <v>3</v>
      </c>
      <c r="E439" s="1" t="s">
        <v>4</v>
      </c>
      <c r="F439" s="2" t="s">
        <v>5</v>
      </c>
      <c r="G439" s="3" t="s">
        <v>6</v>
      </c>
      <c r="H439" s="3" t="s">
        <v>7</v>
      </c>
      <c r="I439" s="4" t="s">
        <v>8</v>
      </c>
      <c r="J439" s="2" t="s">
        <v>9</v>
      </c>
      <c r="K439" s="3" t="s">
        <v>10</v>
      </c>
      <c r="L439" s="2" t="s">
        <v>9</v>
      </c>
    </row>
    <row r="440" spans="1:12" x14ac:dyDescent="0.25">
      <c r="A440" s="5">
        <v>45918</v>
      </c>
      <c r="B440" t="s">
        <v>31</v>
      </c>
      <c r="C440" t="s">
        <v>276</v>
      </c>
      <c r="D440" t="s">
        <v>45</v>
      </c>
      <c r="G440" t="s">
        <v>277</v>
      </c>
      <c r="I440" t="s">
        <v>278</v>
      </c>
      <c r="J440" s="6">
        <v>180000</v>
      </c>
    </row>
    <row r="441" spans="1:12" x14ac:dyDescent="0.25">
      <c r="I441" t="s">
        <v>61</v>
      </c>
      <c r="J441" s="6">
        <v>120000</v>
      </c>
    </row>
    <row r="443" spans="1:12" x14ac:dyDescent="0.25">
      <c r="I443" t="s">
        <v>22</v>
      </c>
      <c r="J443" s="6">
        <f>SUM(J440:J442)</f>
        <v>300000</v>
      </c>
    </row>
    <row r="445" spans="1:12" x14ac:dyDescent="0.25">
      <c r="A445" s="1" t="s">
        <v>0</v>
      </c>
      <c r="B445" s="1" t="s">
        <v>1</v>
      </c>
      <c r="C445" s="1" t="s">
        <v>2</v>
      </c>
      <c r="D445" s="1" t="s">
        <v>3</v>
      </c>
      <c r="E445" s="1" t="s">
        <v>4</v>
      </c>
      <c r="F445" s="2" t="s">
        <v>5</v>
      </c>
      <c r="G445" s="3" t="s">
        <v>6</v>
      </c>
      <c r="H445" s="3" t="s">
        <v>7</v>
      </c>
      <c r="I445" s="4" t="s">
        <v>8</v>
      </c>
      <c r="J445" s="2" t="s">
        <v>9</v>
      </c>
      <c r="K445" s="3" t="s">
        <v>10</v>
      </c>
      <c r="L445" s="2" t="s">
        <v>9</v>
      </c>
    </row>
    <row r="446" spans="1:12" x14ac:dyDescent="0.25">
      <c r="A446" s="5">
        <v>45919</v>
      </c>
      <c r="B446" t="s">
        <v>31</v>
      </c>
      <c r="C446" t="s">
        <v>281</v>
      </c>
      <c r="D446" t="s">
        <v>45</v>
      </c>
      <c r="E446">
        <v>2014</v>
      </c>
      <c r="F446" s="6">
        <v>74697</v>
      </c>
      <c r="G446" t="s">
        <v>282</v>
      </c>
      <c r="H446">
        <v>3507050366</v>
      </c>
      <c r="I446" t="s">
        <v>283</v>
      </c>
    </row>
    <row r="447" spans="1:12" x14ac:dyDescent="0.25">
      <c r="I447" t="s">
        <v>284</v>
      </c>
    </row>
    <row r="448" spans="1:12" x14ac:dyDescent="0.25">
      <c r="I448" t="s">
        <v>285</v>
      </c>
    </row>
    <row r="450" spans="1:12" x14ac:dyDescent="0.25">
      <c r="I450" t="s">
        <v>22</v>
      </c>
    </row>
    <row r="451" spans="1:12" x14ac:dyDescent="0.25">
      <c r="G451" s="7"/>
      <c r="H451" s="8"/>
    </row>
    <row r="452" spans="1:12" x14ac:dyDescent="0.25">
      <c r="A452" s="1" t="s">
        <v>0</v>
      </c>
      <c r="B452" s="1" t="s">
        <v>1</v>
      </c>
      <c r="C452" s="1" t="s">
        <v>2</v>
      </c>
      <c r="D452" s="1" t="s">
        <v>3</v>
      </c>
      <c r="E452" s="1" t="s">
        <v>4</v>
      </c>
      <c r="F452" s="2" t="s">
        <v>5</v>
      </c>
      <c r="G452" s="3" t="s">
        <v>6</v>
      </c>
      <c r="H452" s="3" t="s">
        <v>7</v>
      </c>
      <c r="I452" s="4" t="s">
        <v>8</v>
      </c>
      <c r="J452" s="2" t="s">
        <v>9</v>
      </c>
      <c r="K452" s="3" t="s">
        <v>10</v>
      </c>
      <c r="L452" s="2" t="s">
        <v>9</v>
      </c>
    </row>
    <row r="453" spans="1:12" x14ac:dyDescent="0.25">
      <c r="A453" s="5">
        <v>45919</v>
      </c>
      <c r="B453" t="s">
        <v>286</v>
      </c>
      <c r="C453" t="s">
        <v>287</v>
      </c>
      <c r="D453" t="s">
        <v>25</v>
      </c>
      <c r="F453" s="6">
        <v>16476</v>
      </c>
      <c r="I453" t="s">
        <v>166</v>
      </c>
      <c r="J453" s="6">
        <v>100000</v>
      </c>
    </row>
    <row r="454" spans="1:12" x14ac:dyDescent="0.25">
      <c r="G454" s="8"/>
      <c r="I454" t="s">
        <v>18</v>
      </c>
      <c r="J454" s="6">
        <v>45000</v>
      </c>
    </row>
    <row r="455" spans="1:12" x14ac:dyDescent="0.25">
      <c r="I455" t="s">
        <v>288</v>
      </c>
      <c r="J455" s="6">
        <v>30000</v>
      </c>
    </row>
    <row r="457" spans="1:12" x14ac:dyDescent="0.25">
      <c r="I457" t="s">
        <v>22</v>
      </c>
      <c r="J457" s="6">
        <f>SUM(J453:J456)</f>
        <v>175000</v>
      </c>
    </row>
    <row r="459" spans="1:12" x14ac:dyDescent="0.25">
      <c r="A459" s="1" t="s">
        <v>0</v>
      </c>
      <c r="B459" s="1" t="s">
        <v>1</v>
      </c>
      <c r="C459" s="1" t="s">
        <v>2</v>
      </c>
      <c r="D459" s="1" t="s">
        <v>3</v>
      </c>
      <c r="E459" s="1" t="s">
        <v>4</v>
      </c>
      <c r="F459" s="2" t="s">
        <v>5</v>
      </c>
      <c r="G459" s="3" t="s">
        <v>6</v>
      </c>
      <c r="H459" s="3" t="s">
        <v>7</v>
      </c>
      <c r="I459" s="4" t="s">
        <v>8</v>
      </c>
      <c r="J459" s="2" t="s">
        <v>9</v>
      </c>
      <c r="K459" s="3" t="s">
        <v>10</v>
      </c>
      <c r="L459" s="2" t="s">
        <v>9</v>
      </c>
    </row>
    <row r="460" spans="1:12" x14ac:dyDescent="0.25">
      <c r="A460" s="5">
        <v>45920</v>
      </c>
      <c r="B460" t="s">
        <v>31</v>
      </c>
      <c r="C460" t="s">
        <v>289</v>
      </c>
      <c r="D460" t="s">
        <v>12</v>
      </c>
      <c r="F460" s="6">
        <v>59924</v>
      </c>
      <c r="G460" t="s">
        <v>290</v>
      </c>
      <c r="I460" t="s">
        <v>291</v>
      </c>
      <c r="J460" s="6">
        <v>390000</v>
      </c>
    </row>
    <row r="461" spans="1:12" x14ac:dyDescent="0.25">
      <c r="I461" t="s">
        <v>292</v>
      </c>
      <c r="J461" s="6">
        <v>10000</v>
      </c>
    </row>
    <row r="462" spans="1:12" x14ac:dyDescent="0.25">
      <c r="I462" t="s">
        <v>19</v>
      </c>
      <c r="J462" s="6">
        <v>46000</v>
      </c>
    </row>
    <row r="463" spans="1:12" x14ac:dyDescent="0.25">
      <c r="I463" t="s">
        <v>293</v>
      </c>
    </row>
    <row r="465" spans="1:12" x14ac:dyDescent="0.25">
      <c r="I465" t="s">
        <v>22</v>
      </c>
      <c r="J465" s="6">
        <f>SUM(J460:J464)</f>
        <v>446000</v>
      </c>
    </row>
    <row r="467" spans="1:12" x14ac:dyDescent="0.25">
      <c r="A467" s="1" t="s">
        <v>0</v>
      </c>
      <c r="B467" s="1" t="s">
        <v>1</v>
      </c>
      <c r="C467" s="1" t="s">
        <v>2</v>
      </c>
      <c r="D467" s="1" t="s">
        <v>3</v>
      </c>
      <c r="E467" s="1" t="s">
        <v>4</v>
      </c>
      <c r="F467" s="2" t="s">
        <v>5</v>
      </c>
      <c r="G467" s="3" t="s">
        <v>6</v>
      </c>
      <c r="H467" s="3" t="s">
        <v>7</v>
      </c>
      <c r="I467" s="4" t="s">
        <v>8</v>
      </c>
      <c r="J467" s="2" t="s">
        <v>9</v>
      </c>
      <c r="K467" s="3" t="s">
        <v>10</v>
      </c>
      <c r="L467" s="2" t="s">
        <v>9</v>
      </c>
    </row>
    <row r="468" spans="1:12" x14ac:dyDescent="0.25">
      <c r="A468" s="5">
        <v>45920</v>
      </c>
      <c r="B468" t="s">
        <v>294</v>
      </c>
      <c r="C468" t="s">
        <v>295</v>
      </c>
      <c r="D468" t="s">
        <v>25</v>
      </c>
      <c r="F468" s="6">
        <v>153306</v>
      </c>
      <c r="I468" t="s">
        <v>296</v>
      </c>
      <c r="J468" s="6">
        <v>180000</v>
      </c>
    </row>
    <row r="470" spans="1:12" x14ac:dyDescent="0.25">
      <c r="I470" t="s">
        <v>22</v>
      </c>
      <c r="J470" s="6">
        <v>180000</v>
      </c>
    </row>
    <row r="472" spans="1:12" x14ac:dyDescent="0.25">
      <c r="A472" s="1" t="s">
        <v>0</v>
      </c>
      <c r="B472" s="1" t="s">
        <v>1</v>
      </c>
      <c r="C472" s="1" t="s">
        <v>2</v>
      </c>
      <c r="D472" s="1" t="s">
        <v>3</v>
      </c>
      <c r="E472" s="1" t="s">
        <v>4</v>
      </c>
      <c r="F472" s="2" t="s">
        <v>5</v>
      </c>
      <c r="G472" s="3" t="s">
        <v>6</v>
      </c>
      <c r="H472" s="3" t="s">
        <v>7</v>
      </c>
      <c r="I472" s="4" t="s">
        <v>8</v>
      </c>
      <c r="J472" s="2" t="s">
        <v>9</v>
      </c>
      <c r="K472" s="3" t="s">
        <v>10</v>
      </c>
      <c r="L472" s="2" t="s">
        <v>9</v>
      </c>
    </row>
    <row r="473" spans="1:12" x14ac:dyDescent="0.25">
      <c r="A473" s="5">
        <v>45920</v>
      </c>
      <c r="B473" t="s">
        <v>110</v>
      </c>
      <c r="C473" t="s">
        <v>341</v>
      </c>
      <c r="D473" t="s">
        <v>25</v>
      </c>
      <c r="E473">
        <v>2009</v>
      </c>
      <c r="F473" s="6">
        <v>43697</v>
      </c>
      <c r="G473" t="s">
        <v>342</v>
      </c>
      <c r="H473">
        <v>3112143853</v>
      </c>
      <c r="I473" t="s">
        <v>75</v>
      </c>
    </row>
    <row r="474" spans="1:12" x14ac:dyDescent="0.25">
      <c r="I474" t="s">
        <v>61</v>
      </c>
    </row>
    <row r="476" spans="1:12" x14ac:dyDescent="0.25">
      <c r="I476" t="s">
        <v>22</v>
      </c>
      <c r="J476" s="6">
        <v>300000</v>
      </c>
    </row>
    <row r="478" spans="1:12" x14ac:dyDescent="0.25">
      <c r="A478" s="1" t="s">
        <v>0</v>
      </c>
      <c r="B478" s="1" t="s">
        <v>1</v>
      </c>
      <c r="C478" s="1" t="s">
        <v>2</v>
      </c>
      <c r="D478" s="1" t="s">
        <v>3</v>
      </c>
      <c r="E478" s="1" t="s">
        <v>4</v>
      </c>
      <c r="F478" s="2" t="s">
        <v>5</v>
      </c>
      <c r="G478" s="3" t="s">
        <v>6</v>
      </c>
      <c r="H478" s="3" t="s">
        <v>7</v>
      </c>
      <c r="I478" s="4" t="s">
        <v>8</v>
      </c>
      <c r="J478" s="2" t="s">
        <v>9</v>
      </c>
      <c r="K478" s="3" t="s">
        <v>10</v>
      </c>
      <c r="L478" s="2" t="s">
        <v>9</v>
      </c>
    </row>
    <row r="479" spans="1:12" x14ac:dyDescent="0.25">
      <c r="A479" s="5">
        <v>45921</v>
      </c>
      <c r="B479" t="s">
        <v>11</v>
      </c>
      <c r="C479" t="s">
        <v>310</v>
      </c>
      <c r="D479" t="s">
        <v>45</v>
      </c>
      <c r="F479" s="6">
        <v>37324</v>
      </c>
      <c r="G479" t="s">
        <v>297</v>
      </c>
      <c r="I479" t="s">
        <v>298</v>
      </c>
      <c r="J479" s="6">
        <v>10000</v>
      </c>
    </row>
    <row r="480" spans="1:12" x14ac:dyDescent="0.25">
      <c r="I480" t="s">
        <v>299</v>
      </c>
      <c r="J480" s="6">
        <v>120000</v>
      </c>
    </row>
    <row r="481" spans="1:12" x14ac:dyDescent="0.25">
      <c r="I481" t="s">
        <v>300</v>
      </c>
      <c r="J481" s="6">
        <v>60000</v>
      </c>
    </row>
    <row r="482" spans="1:12" x14ac:dyDescent="0.25">
      <c r="I482" t="s">
        <v>21</v>
      </c>
      <c r="J482" s="6">
        <v>25000</v>
      </c>
    </row>
    <row r="483" spans="1:12" x14ac:dyDescent="0.25">
      <c r="I483" t="s">
        <v>301</v>
      </c>
      <c r="J483" s="6">
        <v>340000</v>
      </c>
    </row>
    <row r="484" spans="1:12" x14ac:dyDescent="0.25">
      <c r="I484" t="s">
        <v>61</v>
      </c>
      <c r="J484" s="6">
        <v>80000</v>
      </c>
    </row>
    <row r="486" spans="1:12" x14ac:dyDescent="0.25">
      <c r="I486" t="s">
        <v>22</v>
      </c>
      <c r="J486" s="6">
        <f>SUM(J479:J485)</f>
        <v>635000</v>
      </c>
    </row>
    <row r="488" spans="1:12" x14ac:dyDescent="0.25">
      <c r="A488" s="1" t="s">
        <v>0</v>
      </c>
      <c r="B488" s="1" t="s">
        <v>1</v>
      </c>
      <c r="C488" s="1" t="s">
        <v>2</v>
      </c>
      <c r="D488" s="1" t="s">
        <v>3</v>
      </c>
      <c r="E488" s="1" t="s">
        <v>4</v>
      </c>
      <c r="F488" s="2" t="s">
        <v>5</v>
      </c>
      <c r="G488" s="3" t="s">
        <v>6</v>
      </c>
      <c r="H488" s="3" t="s">
        <v>7</v>
      </c>
      <c r="I488" s="4" t="s">
        <v>8</v>
      </c>
      <c r="J488" s="2" t="s">
        <v>9</v>
      </c>
      <c r="K488" s="3" t="s">
        <v>10</v>
      </c>
      <c r="L488" s="2" t="s">
        <v>9</v>
      </c>
    </row>
    <row r="489" spans="1:12" x14ac:dyDescent="0.25">
      <c r="A489" s="5">
        <v>45922</v>
      </c>
      <c r="B489" t="s">
        <v>130</v>
      </c>
      <c r="C489" t="s">
        <v>302</v>
      </c>
      <c r="E489">
        <v>2006</v>
      </c>
      <c r="F489" s="6">
        <v>81049</v>
      </c>
      <c r="G489" t="s">
        <v>303</v>
      </c>
      <c r="I489" t="s">
        <v>107</v>
      </c>
      <c r="J489" s="6">
        <v>100000</v>
      </c>
    </row>
    <row r="490" spans="1:12" x14ac:dyDescent="0.25">
      <c r="I490" t="s">
        <v>304</v>
      </c>
      <c r="J490" s="6">
        <v>130000</v>
      </c>
    </row>
    <row r="491" spans="1:12" x14ac:dyDescent="0.25">
      <c r="I491" t="s">
        <v>61</v>
      </c>
      <c r="J491" s="6">
        <v>140000</v>
      </c>
    </row>
    <row r="493" spans="1:12" x14ac:dyDescent="0.25">
      <c r="I493" t="s">
        <v>22</v>
      </c>
      <c r="J493" s="6">
        <f>SUM(J489:J492)</f>
        <v>370000</v>
      </c>
    </row>
    <row r="495" spans="1:12" x14ac:dyDescent="0.25">
      <c r="A495" s="1" t="s">
        <v>0</v>
      </c>
      <c r="B495" s="1" t="s">
        <v>1</v>
      </c>
      <c r="C495" s="1" t="s">
        <v>2</v>
      </c>
      <c r="D495" s="1" t="s">
        <v>3</v>
      </c>
      <c r="E495" s="1" t="s">
        <v>4</v>
      </c>
      <c r="F495" s="2" t="s">
        <v>5</v>
      </c>
      <c r="G495" s="3" t="s">
        <v>6</v>
      </c>
      <c r="H495" s="3" t="s">
        <v>7</v>
      </c>
      <c r="I495" s="4" t="s">
        <v>8</v>
      </c>
      <c r="J495" s="2" t="s">
        <v>9</v>
      </c>
      <c r="K495" s="3" t="s">
        <v>10</v>
      </c>
      <c r="L495" s="2" t="s">
        <v>9</v>
      </c>
    </row>
    <row r="496" spans="1:12" x14ac:dyDescent="0.25">
      <c r="A496" s="5">
        <v>45922</v>
      </c>
      <c r="B496" t="s">
        <v>48</v>
      </c>
      <c r="C496" t="s">
        <v>305</v>
      </c>
      <c r="D496" t="s">
        <v>25</v>
      </c>
      <c r="E496">
        <v>2023</v>
      </c>
      <c r="F496" s="6">
        <v>20017</v>
      </c>
      <c r="G496" t="s">
        <v>306</v>
      </c>
      <c r="H496">
        <v>3052807337</v>
      </c>
      <c r="I496" t="s">
        <v>36</v>
      </c>
      <c r="J496" s="6">
        <v>200000</v>
      </c>
    </row>
    <row r="497" spans="1:12" x14ac:dyDescent="0.25">
      <c r="I497" t="s">
        <v>34</v>
      </c>
      <c r="J497" s="6">
        <v>150000</v>
      </c>
    </row>
    <row r="498" spans="1:12" x14ac:dyDescent="0.25">
      <c r="I498" t="s">
        <v>19</v>
      </c>
      <c r="J498" s="6">
        <v>56000</v>
      </c>
    </row>
    <row r="500" spans="1:12" x14ac:dyDescent="0.25">
      <c r="I500" t="s">
        <v>22</v>
      </c>
      <c r="J500" s="6">
        <f>SUM(J496:J499)</f>
        <v>406000</v>
      </c>
    </row>
    <row r="502" spans="1:12" x14ac:dyDescent="0.25">
      <c r="A502" s="1" t="s">
        <v>0</v>
      </c>
      <c r="B502" s="1" t="s">
        <v>1</v>
      </c>
      <c r="C502" s="1" t="s">
        <v>2</v>
      </c>
      <c r="D502" s="1" t="s">
        <v>3</v>
      </c>
      <c r="E502" s="1" t="s">
        <v>4</v>
      </c>
      <c r="F502" s="2" t="s">
        <v>5</v>
      </c>
      <c r="G502" s="3" t="s">
        <v>6</v>
      </c>
      <c r="H502" s="3" t="s">
        <v>7</v>
      </c>
      <c r="I502" s="4" t="s">
        <v>8</v>
      </c>
      <c r="J502" s="2" t="s">
        <v>9</v>
      </c>
      <c r="K502" s="3" t="s">
        <v>10</v>
      </c>
      <c r="L502" s="2" t="s">
        <v>9</v>
      </c>
    </row>
    <row r="503" spans="1:12" x14ac:dyDescent="0.25">
      <c r="A503" s="5">
        <v>45922</v>
      </c>
      <c r="B503" t="s">
        <v>251</v>
      </c>
      <c r="C503" t="s">
        <v>307</v>
      </c>
      <c r="D503" t="s">
        <v>138</v>
      </c>
      <c r="F503" s="6">
        <v>45976</v>
      </c>
      <c r="G503" t="s">
        <v>308</v>
      </c>
      <c r="I503" t="s">
        <v>34</v>
      </c>
      <c r="J503" s="6">
        <v>272000</v>
      </c>
    </row>
    <row r="504" spans="1:12" x14ac:dyDescent="0.25">
      <c r="I504" t="s">
        <v>19</v>
      </c>
      <c r="J504" s="6">
        <v>64000</v>
      </c>
    </row>
    <row r="505" spans="1:12" x14ac:dyDescent="0.25">
      <c r="I505" t="s">
        <v>107</v>
      </c>
      <c r="J505" s="6">
        <v>95000</v>
      </c>
    </row>
    <row r="506" spans="1:12" x14ac:dyDescent="0.25">
      <c r="I506" t="s">
        <v>257</v>
      </c>
      <c r="J506" s="6">
        <v>100000</v>
      </c>
    </row>
    <row r="507" spans="1:12" x14ac:dyDescent="0.25">
      <c r="I507" t="s">
        <v>61</v>
      </c>
      <c r="J507" s="6">
        <v>150000</v>
      </c>
    </row>
    <row r="508" spans="1:12" x14ac:dyDescent="0.25">
      <c r="I508" t="s">
        <v>309</v>
      </c>
      <c r="J508" s="6">
        <v>80000</v>
      </c>
    </row>
    <row r="510" spans="1:12" x14ac:dyDescent="0.25">
      <c r="I510" t="s">
        <v>22</v>
      </c>
      <c r="J510" s="6">
        <f>SUM(J503:J509)</f>
        <v>761000</v>
      </c>
    </row>
    <row r="512" spans="1:12" x14ac:dyDescent="0.25">
      <c r="A512" s="1" t="s">
        <v>0</v>
      </c>
      <c r="B512" s="1" t="s">
        <v>1</v>
      </c>
      <c r="C512" s="1" t="s">
        <v>2</v>
      </c>
      <c r="D512" s="1" t="s">
        <v>3</v>
      </c>
      <c r="E512" s="1" t="s">
        <v>4</v>
      </c>
      <c r="F512" s="2" t="s">
        <v>5</v>
      </c>
      <c r="G512" s="3" t="s">
        <v>6</v>
      </c>
      <c r="H512" s="3" t="s">
        <v>7</v>
      </c>
      <c r="I512" s="4" t="s">
        <v>8</v>
      </c>
      <c r="J512" s="2" t="s">
        <v>9</v>
      </c>
      <c r="K512" s="3" t="s">
        <v>10</v>
      </c>
      <c r="L512" s="2" t="s">
        <v>9</v>
      </c>
    </row>
    <row r="513" spans="1:12" x14ac:dyDescent="0.25">
      <c r="A513" s="5">
        <v>45922</v>
      </c>
      <c r="B513" t="s">
        <v>343</v>
      </c>
      <c r="C513" t="s">
        <v>344</v>
      </c>
      <c r="F513" s="6">
        <v>62884</v>
      </c>
      <c r="G513" t="s">
        <v>774</v>
      </c>
      <c r="H513">
        <v>3104761594</v>
      </c>
      <c r="I513" t="s">
        <v>34</v>
      </c>
      <c r="J513" s="6">
        <v>54000</v>
      </c>
    </row>
    <row r="514" spans="1:12" x14ac:dyDescent="0.25">
      <c r="C514" t="s">
        <v>345</v>
      </c>
      <c r="I514" t="s">
        <v>346</v>
      </c>
      <c r="J514" s="6">
        <v>75000</v>
      </c>
    </row>
    <row r="515" spans="1:12" x14ac:dyDescent="0.25">
      <c r="I515" t="s">
        <v>347</v>
      </c>
      <c r="J515" s="6">
        <v>30000</v>
      </c>
    </row>
    <row r="516" spans="1:12" x14ac:dyDescent="0.25">
      <c r="I516" t="s">
        <v>70</v>
      </c>
      <c r="J516" s="6">
        <v>250000</v>
      </c>
    </row>
    <row r="517" spans="1:12" x14ac:dyDescent="0.25">
      <c r="I517" t="s">
        <v>198</v>
      </c>
      <c r="J517" s="6">
        <v>35000</v>
      </c>
    </row>
    <row r="519" spans="1:12" x14ac:dyDescent="0.25">
      <c r="I519" t="s">
        <v>22</v>
      </c>
      <c r="J519" s="6">
        <f>SUM(J513:J518)</f>
        <v>444000</v>
      </c>
    </row>
    <row r="521" spans="1:12" x14ac:dyDescent="0.25">
      <c r="A521" s="1" t="s">
        <v>0</v>
      </c>
      <c r="B521" s="1" t="s">
        <v>1</v>
      </c>
      <c r="C521" s="1" t="s">
        <v>2</v>
      </c>
      <c r="D521" s="1" t="s">
        <v>3</v>
      </c>
      <c r="E521" s="1" t="s">
        <v>4</v>
      </c>
      <c r="F521" s="2" t="s">
        <v>5</v>
      </c>
      <c r="G521" s="3" t="s">
        <v>6</v>
      </c>
      <c r="H521" s="3" t="s">
        <v>7</v>
      </c>
      <c r="I521" s="4" t="s">
        <v>8</v>
      </c>
      <c r="J521" s="2" t="s">
        <v>9</v>
      </c>
      <c r="K521" s="3" t="s">
        <v>10</v>
      </c>
      <c r="L521" s="2" t="s">
        <v>9</v>
      </c>
    </row>
    <row r="522" spans="1:12" x14ac:dyDescent="0.25">
      <c r="A522" s="5">
        <v>45923</v>
      </c>
      <c r="B522" t="s">
        <v>251</v>
      </c>
      <c r="C522" t="s">
        <v>252</v>
      </c>
      <c r="D522" t="s">
        <v>138</v>
      </c>
      <c r="F522" s="6">
        <v>49159</v>
      </c>
      <c r="G522" t="s">
        <v>253</v>
      </c>
      <c r="I522" t="s">
        <v>40</v>
      </c>
      <c r="J522" s="6">
        <v>480000</v>
      </c>
    </row>
    <row r="523" spans="1:12" x14ac:dyDescent="0.25">
      <c r="I523" t="s">
        <v>34</v>
      </c>
      <c r="J523" s="6">
        <v>272000</v>
      </c>
    </row>
    <row r="524" spans="1:12" x14ac:dyDescent="0.25">
      <c r="I524" t="s">
        <v>19</v>
      </c>
      <c r="J524" s="6">
        <v>68000</v>
      </c>
    </row>
    <row r="525" spans="1:12" x14ac:dyDescent="0.25">
      <c r="I525" t="s">
        <v>254</v>
      </c>
      <c r="J525" s="6">
        <v>150000</v>
      </c>
    </row>
    <row r="526" spans="1:12" x14ac:dyDescent="0.25">
      <c r="I526" t="s">
        <v>255</v>
      </c>
      <c r="J526" s="6">
        <v>180000</v>
      </c>
    </row>
    <row r="527" spans="1:12" x14ac:dyDescent="0.25">
      <c r="I527" t="s">
        <v>256</v>
      </c>
      <c r="J527" s="6">
        <v>25000</v>
      </c>
    </row>
    <row r="528" spans="1:12" x14ac:dyDescent="0.25">
      <c r="I528" t="s">
        <v>50</v>
      </c>
      <c r="J528" s="6">
        <v>190000</v>
      </c>
    </row>
    <row r="529" spans="1:12" x14ac:dyDescent="0.25">
      <c r="I529" t="s">
        <v>257</v>
      </c>
      <c r="J529" s="6">
        <v>90000</v>
      </c>
    </row>
    <row r="530" spans="1:12" x14ac:dyDescent="0.25">
      <c r="I530" t="s">
        <v>258</v>
      </c>
      <c r="J530" s="6">
        <v>80000</v>
      </c>
    </row>
    <row r="531" spans="1:12" x14ac:dyDescent="0.25">
      <c r="I531" t="s">
        <v>146</v>
      </c>
      <c r="J531" s="6">
        <v>38000</v>
      </c>
    </row>
    <row r="532" spans="1:12" x14ac:dyDescent="0.25">
      <c r="I532" t="s">
        <v>259</v>
      </c>
      <c r="J532" s="6">
        <v>100000</v>
      </c>
    </row>
    <row r="534" spans="1:12" x14ac:dyDescent="0.25">
      <c r="I534" t="s">
        <v>22</v>
      </c>
      <c r="J534" s="6">
        <f>SUM(J522:J533)</f>
        <v>1673000</v>
      </c>
    </row>
    <row r="536" spans="1:12" x14ac:dyDescent="0.25">
      <c r="A536" s="1" t="s">
        <v>0</v>
      </c>
      <c r="B536" s="1" t="s">
        <v>1</v>
      </c>
      <c r="C536" s="1" t="s">
        <v>2</v>
      </c>
      <c r="D536" s="1" t="s">
        <v>3</v>
      </c>
      <c r="E536" s="1" t="s">
        <v>4</v>
      </c>
      <c r="F536" s="2" t="s">
        <v>5</v>
      </c>
      <c r="G536" s="3" t="s">
        <v>6</v>
      </c>
      <c r="H536" s="3" t="s">
        <v>7</v>
      </c>
      <c r="I536" s="4" t="s">
        <v>8</v>
      </c>
      <c r="J536" s="2" t="s">
        <v>9</v>
      </c>
      <c r="K536" s="3" t="s">
        <v>10</v>
      </c>
      <c r="L536" s="2" t="s">
        <v>9</v>
      </c>
    </row>
    <row r="537" spans="1:12" x14ac:dyDescent="0.25">
      <c r="A537" s="5">
        <v>45923</v>
      </c>
      <c r="B537" t="s">
        <v>232</v>
      </c>
      <c r="C537" t="s">
        <v>765</v>
      </c>
      <c r="E537">
        <v>2020</v>
      </c>
      <c r="F537" s="6">
        <v>70000</v>
      </c>
      <c r="G537" t="s">
        <v>766</v>
      </c>
      <c r="H537">
        <v>3208320287</v>
      </c>
      <c r="I537" t="s">
        <v>767</v>
      </c>
    </row>
    <row r="539" spans="1:12" x14ac:dyDescent="0.25">
      <c r="I539" t="s">
        <v>22</v>
      </c>
    </row>
    <row r="541" spans="1:12" x14ac:dyDescent="0.25">
      <c r="A541" s="1" t="s">
        <v>0</v>
      </c>
      <c r="B541" s="1" t="s">
        <v>1</v>
      </c>
      <c r="C541" s="1" t="s">
        <v>2</v>
      </c>
      <c r="D541" s="1" t="s">
        <v>3</v>
      </c>
      <c r="E541" s="1" t="s">
        <v>4</v>
      </c>
      <c r="F541" s="2" t="s">
        <v>5</v>
      </c>
      <c r="G541" s="3" t="s">
        <v>6</v>
      </c>
      <c r="H541" s="3" t="s">
        <v>7</v>
      </c>
      <c r="I541" s="4" t="s">
        <v>8</v>
      </c>
      <c r="J541" s="2" t="s">
        <v>9</v>
      </c>
      <c r="K541" s="3" t="s">
        <v>10</v>
      </c>
      <c r="L541" s="2" t="s">
        <v>9</v>
      </c>
    </row>
    <row r="542" spans="1:12" x14ac:dyDescent="0.25">
      <c r="A542" s="5">
        <v>45924</v>
      </c>
      <c r="B542" t="s">
        <v>31</v>
      </c>
      <c r="D542" t="s">
        <v>12</v>
      </c>
      <c r="E542">
        <v>2017</v>
      </c>
      <c r="G542" t="s">
        <v>311</v>
      </c>
      <c r="I542" t="s">
        <v>312</v>
      </c>
      <c r="J542" s="6">
        <v>580000</v>
      </c>
    </row>
    <row r="543" spans="1:12" x14ac:dyDescent="0.25">
      <c r="I543" t="s">
        <v>313</v>
      </c>
      <c r="J543" s="6">
        <v>350000</v>
      </c>
    </row>
    <row r="544" spans="1:12" x14ac:dyDescent="0.25">
      <c r="I544" t="s">
        <v>314</v>
      </c>
      <c r="J544" s="6">
        <v>1000000</v>
      </c>
    </row>
    <row r="546" spans="1:12" x14ac:dyDescent="0.25">
      <c r="I546" t="s">
        <v>22</v>
      </c>
      <c r="J546" s="6">
        <f>SUM(J542:J545)</f>
        <v>1930000</v>
      </c>
    </row>
    <row r="548" spans="1:12" x14ac:dyDescent="0.25">
      <c r="A548" s="1" t="s">
        <v>0</v>
      </c>
      <c r="B548" s="1" t="s">
        <v>1</v>
      </c>
      <c r="C548" s="1" t="s">
        <v>2</v>
      </c>
      <c r="D548" s="1" t="s">
        <v>3</v>
      </c>
      <c r="E548" s="1" t="s">
        <v>4</v>
      </c>
      <c r="F548" s="2" t="s">
        <v>5</v>
      </c>
      <c r="G548" s="3" t="s">
        <v>6</v>
      </c>
      <c r="H548" s="3" t="s">
        <v>7</v>
      </c>
      <c r="I548" s="4" t="s">
        <v>8</v>
      </c>
      <c r="J548" s="2" t="s">
        <v>9</v>
      </c>
      <c r="K548" s="3" t="s">
        <v>10</v>
      </c>
      <c r="L548" s="2" t="s">
        <v>9</v>
      </c>
    </row>
    <row r="549" spans="1:12" x14ac:dyDescent="0.25">
      <c r="A549" s="5">
        <v>45924</v>
      </c>
      <c r="B549" t="s">
        <v>31</v>
      </c>
      <c r="C549" t="s">
        <v>316</v>
      </c>
      <c r="D549" t="s">
        <v>45</v>
      </c>
      <c r="E549">
        <v>2020</v>
      </c>
      <c r="F549" s="6">
        <v>40078</v>
      </c>
      <c r="G549" t="s">
        <v>315</v>
      </c>
      <c r="H549">
        <v>3127714571</v>
      </c>
      <c r="I549" t="s">
        <v>34</v>
      </c>
      <c r="J549" s="6">
        <v>90000</v>
      </c>
    </row>
    <row r="550" spans="1:12" x14ac:dyDescent="0.25">
      <c r="I550" t="s">
        <v>19</v>
      </c>
      <c r="J550" s="6">
        <v>65000</v>
      </c>
    </row>
    <row r="551" spans="1:12" x14ac:dyDescent="0.25">
      <c r="I551" t="s">
        <v>107</v>
      </c>
      <c r="J551" s="6">
        <v>73000</v>
      </c>
    </row>
    <row r="552" spans="1:12" x14ac:dyDescent="0.25">
      <c r="I552" t="s">
        <v>36</v>
      </c>
      <c r="J552" s="6">
        <v>180000</v>
      </c>
    </row>
    <row r="554" spans="1:12" x14ac:dyDescent="0.25">
      <c r="I554" t="s">
        <v>22</v>
      </c>
      <c r="J554" s="6">
        <f>SUM(J549:J553)</f>
        <v>408000</v>
      </c>
    </row>
    <row r="556" spans="1:12" x14ac:dyDescent="0.25">
      <c r="A556" s="1" t="s">
        <v>0</v>
      </c>
      <c r="B556" s="1" t="s">
        <v>1</v>
      </c>
      <c r="C556" s="1" t="s">
        <v>2</v>
      </c>
      <c r="D556" s="1" t="s">
        <v>3</v>
      </c>
      <c r="E556" s="1" t="s">
        <v>4</v>
      </c>
      <c r="F556" s="2" t="s">
        <v>5</v>
      </c>
      <c r="G556" s="3" t="s">
        <v>6</v>
      </c>
      <c r="H556" s="3" t="s">
        <v>7</v>
      </c>
      <c r="I556" s="4" t="s">
        <v>8</v>
      </c>
      <c r="J556" s="2" t="s">
        <v>9</v>
      </c>
      <c r="K556" s="3" t="s">
        <v>10</v>
      </c>
      <c r="L556" s="2" t="s">
        <v>9</v>
      </c>
    </row>
    <row r="557" spans="1:12" x14ac:dyDescent="0.25">
      <c r="A557" s="5">
        <v>45924</v>
      </c>
      <c r="B557" t="s">
        <v>317</v>
      </c>
      <c r="C557" t="s">
        <v>318</v>
      </c>
      <c r="D557" t="s">
        <v>25</v>
      </c>
      <c r="E557">
        <v>2015</v>
      </c>
      <c r="F557" s="6">
        <v>53393</v>
      </c>
      <c r="G557" t="s">
        <v>319</v>
      </c>
      <c r="I557" t="s">
        <v>70</v>
      </c>
      <c r="J557" s="6">
        <v>350000</v>
      </c>
    </row>
    <row r="558" spans="1:12" x14ac:dyDescent="0.25">
      <c r="I558" t="s">
        <v>34</v>
      </c>
      <c r="J558" s="6">
        <v>120000</v>
      </c>
    </row>
    <row r="559" spans="1:12" x14ac:dyDescent="0.25">
      <c r="I559" t="s">
        <v>320</v>
      </c>
      <c r="J559" s="6">
        <v>10000</v>
      </c>
    </row>
    <row r="560" spans="1:12" x14ac:dyDescent="0.25">
      <c r="I560" t="s">
        <v>321</v>
      </c>
      <c r="J560" s="6">
        <v>60000</v>
      </c>
    </row>
    <row r="562" spans="1:12" x14ac:dyDescent="0.25">
      <c r="I562" t="s">
        <v>22</v>
      </c>
      <c r="J562" s="6">
        <f>SUM(J557:J561)</f>
        <v>540000</v>
      </c>
    </row>
    <row r="564" spans="1:12" x14ac:dyDescent="0.25">
      <c r="A564" s="1" t="s">
        <v>0</v>
      </c>
      <c r="B564" s="1" t="s">
        <v>1</v>
      </c>
      <c r="C564" s="1" t="s">
        <v>2</v>
      </c>
      <c r="D564" s="1" t="s">
        <v>3</v>
      </c>
      <c r="E564" s="1" t="s">
        <v>4</v>
      </c>
      <c r="F564" s="2" t="s">
        <v>5</v>
      </c>
      <c r="G564" s="3" t="s">
        <v>6</v>
      </c>
      <c r="H564" s="3" t="s">
        <v>7</v>
      </c>
      <c r="I564" s="4" t="s">
        <v>8</v>
      </c>
      <c r="J564" s="2" t="s">
        <v>9</v>
      </c>
      <c r="K564" s="3" t="s">
        <v>10</v>
      </c>
      <c r="L564" s="2" t="s">
        <v>9</v>
      </c>
    </row>
    <row r="565" spans="1:12" x14ac:dyDescent="0.25">
      <c r="A565" s="5">
        <v>45924</v>
      </c>
      <c r="B565" t="s">
        <v>322</v>
      </c>
      <c r="G565" t="s">
        <v>323</v>
      </c>
      <c r="H565">
        <v>3115385781</v>
      </c>
      <c r="I565" t="s">
        <v>324</v>
      </c>
    </row>
    <row r="566" spans="1:12" x14ac:dyDescent="0.25">
      <c r="I566" t="s">
        <v>194</v>
      </c>
    </row>
    <row r="567" spans="1:12" x14ac:dyDescent="0.25">
      <c r="I567" t="s">
        <v>325</v>
      </c>
    </row>
    <row r="568" spans="1:12" x14ac:dyDescent="0.25">
      <c r="I568" t="s">
        <v>326</v>
      </c>
    </row>
    <row r="569" spans="1:12" x14ac:dyDescent="0.25">
      <c r="I569" t="s">
        <v>21</v>
      </c>
    </row>
    <row r="571" spans="1:12" x14ac:dyDescent="0.25">
      <c r="I571" t="s">
        <v>22</v>
      </c>
    </row>
    <row r="573" spans="1:12" x14ac:dyDescent="0.25">
      <c r="A573" s="1" t="s">
        <v>0</v>
      </c>
      <c r="B573" s="1" t="s">
        <v>1</v>
      </c>
      <c r="C573" s="1" t="s">
        <v>2</v>
      </c>
      <c r="D573" s="1" t="s">
        <v>3</v>
      </c>
      <c r="E573" s="1" t="s">
        <v>4</v>
      </c>
      <c r="F573" s="2" t="s">
        <v>5</v>
      </c>
      <c r="G573" s="3" t="s">
        <v>6</v>
      </c>
      <c r="H573" s="3" t="s">
        <v>7</v>
      </c>
      <c r="I573" s="4" t="s">
        <v>8</v>
      </c>
      <c r="J573" s="2" t="s">
        <v>9</v>
      </c>
      <c r="K573" s="3" t="s">
        <v>10</v>
      </c>
      <c r="L573" s="2" t="s">
        <v>9</v>
      </c>
    </row>
    <row r="574" spans="1:12" x14ac:dyDescent="0.25">
      <c r="A574" s="5">
        <v>45924</v>
      </c>
      <c r="B574" t="s">
        <v>327</v>
      </c>
      <c r="C574" t="s">
        <v>328</v>
      </c>
      <c r="D574" t="s">
        <v>25</v>
      </c>
      <c r="F574" s="6">
        <v>18032</v>
      </c>
      <c r="I574" t="s">
        <v>34</v>
      </c>
      <c r="J574" s="6">
        <v>62400</v>
      </c>
    </row>
    <row r="575" spans="1:12" x14ac:dyDescent="0.25">
      <c r="I575" t="s">
        <v>19</v>
      </c>
      <c r="J575" s="6">
        <v>18000</v>
      </c>
    </row>
    <row r="576" spans="1:12" x14ac:dyDescent="0.25">
      <c r="I576" t="s">
        <v>61</v>
      </c>
      <c r="J576" s="6">
        <v>20000</v>
      </c>
    </row>
    <row r="578" spans="1:12" x14ac:dyDescent="0.25">
      <c r="I578" t="s">
        <v>22</v>
      </c>
      <c r="J578" s="6">
        <f>SUM(J574:J577)</f>
        <v>100400</v>
      </c>
    </row>
    <row r="580" spans="1:12" x14ac:dyDescent="0.25">
      <c r="A580" s="1" t="s">
        <v>0</v>
      </c>
      <c r="B580" s="1" t="s">
        <v>1</v>
      </c>
      <c r="C580" s="1" t="s">
        <v>2</v>
      </c>
      <c r="D580" s="1" t="s">
        <v>3</v>
      </c>
      <c r="E580" s="1" t="s">
        <v>4</v>
      </c>
      <c r="F580" s="2" t="s">
        <v>5</v>
      </c>
      <c r="G580" s="3" t="s">
        <v>6</v>
      </c>
      <c r="H580" s="3" t="s">
        <v>7</v>
      </c>
      <c r="I580" s="4" t="s">
        <v>8</v>
      </c>
      <c r="J580" s="2" t="s">
        <v>9</v>
      </c>
      <c r="K580" s="3" t="s">
        <v>10</v>
      </c>
      <c r="L580" s="2" t="s">
        <v>9</v>
      </c>
    </row>
    <row r="581" spans="1:12" x14ac:dyDescent="0.25">
      <c r="A581" s="5">
        <v>45924</v>
      </c>
      <c r="B581" t="s">
        <v>23</v>
      </c>
      <c r="C581" t="s">
        <v>329</v>
      </c>
      <c r="E581">
        <v>2023</v>
      </c>
      <c r="F581" s="6">
        <v>35005</v>
      </c>
      <c r="I581" t="s">
        <v>330</v>
      </c>
      <c r="J581" s="6">
        <v>260000</v>
      </c>
    </row>
    <row r="582" spans="1:12" x14ac:dyDescent="0.25">
      <c r="I582" t="s">
        <v>34</v>
      </c>
      <c r="J582" s="6">
        <v>50000</v>
      </c>
    </row>
    <row r="583" spans="1:12" x14ac:dyDescent="0.25">
      <c r="I583" t="s">
        <v>19</v>
      </c>
      <c r="J583" s="6">
        <v>56000</v>
      </c>
    </row>
    <row r="584" spans="1:12" x14ac:dyDescent="0.25">
      <c r="I584" t="s">
        <v>128</v>
      </c>
      <c r="J584" s="6">
        <v>120000</v>
      </c>
    </row>
    <row r="586" spans="1:12" x14ac:dyDescent="0.25">
      <c r="I586" t="s">
        <v>22</v>
      </c>
      <c r="J586" s="6">
        <f>SUM(J581:J585)</f>
        <v>486000</v>
      </c>
    </row>
    <row r="588" spans="1:12" x14ac:dyDescent="0.25">
      <c r="A588" s="1" t="s">
        <v>0</v>
      </c>
      <c r="B588" s="1" t="s">
        <v>1</v>
      </c>
      <c r="C588" s="1" t="s">
        <v>2</v>
      </c>
      <c r="D588" s="1" t="s">
        <v>3</v>
      </c>
      <c r="E588" s="1" t="s">
        <v>4</v>
      </c>
      <c r="F588" s="2" t="s">
        <v>5</v>
      </c>
      <c r="G588" s="3" t="s">
        <v>6</v>
      </c>
      <c r="H588" s="3" t="s">
        <v>7</v>
      </c>
      <c r="I588" s="4" t="s">
        <v>8</v>
      </c>
      <c r="J588" s="2" t="s">
        <v>9</v>
      </c>
      <c r="K588" s="3" t="s">
        <v>10</v>
      </c>
      <c r="L588" s="2" t="s">
        <v>9</v>
      </c>
    </row>
    <row r="589" spans="1:12" x14ac:dyDescent="0.25">
      <c r="A589" s="5">
        <v>45924</v>
      </c>
      <c r="B589" t="s">
        <v>331</v>
      </c>
      <c r="C589" t="s">
        <v>332</v>
      </c>
      <c r="D589" t="s">
        <v>248</v>
      </c>
      <c r="F589" s="6">
        <v>71306</v>
      </c>
      <c r="G589" t="s">
        <v>333</v>
      </c>
      <c r="I589" t="s">
        <v>334</v>
      </c>
      <c r="J589" s="6">
        <v>450000</v>
      </c>
    </row>
    <row r="590" spans="1:12" x14ac:dyDescent="0.25">
      <c r="I590" t="s">
        <v>335</v>
      </c>
      <c r="J590" s="6">
        <v>35000</v>
      </c>
    </row>
    <row r="591" spans="1:12" x14ac:dyDescent="0.25">
      <c r="I591" t="s">
        <v>336</v>
      </c>
      <c r="J591" s="6">
        <v>90000</v>
      </c>
    </row>
    <row r="592" spans="1:12" x14ac:dyDescent="0.25">
      <c r="I592" t="s">
        <v>337</v>
      </c>
      <c r="J592" s="6">
        <v>40000</v>
      </c>
    </row>
    <row r="594" spans="1:12" x14ac:dyDescent="0.25">
      <c r="I594" t="s">
        <v>22</v>
      </c>
      <c r="J594" s="6">
        <f>SUM(J589:J593)</f>
        <v>615000</v>
      </c>
    </row>
    <row r="596" spans="1:12" x14ac:dyDescent="0.25">
      <c r="A596" s="1" t="s">
        <v>0</v>
      </c>
      <c r="B596" s="1" t="s">
        <v>1</v>
      </c>
      <c r="C596" s="1" t="s">
        <v>2</v>
      </c>
      <c r="D596" s="1" t="s">
        <v>3</v>
      </c>
      <c r="E596" s="1" t="s">
        <v>4</v>
      </c>
      <c r="F596" s="2" t="s">
        <v>5</v>
      </c>
      <c r="G596" s="3" t="s">
        <v>6</v>
      </c>
      <c r="H596" s="3" t="s">
        <v>7</v>
      </c>
      <c r="I596" s="4" t="s">
        <v>8</v>
      </c>
      <c r="J596" s="2" t="s">
        <v>9</v>
      </c>
      <c r="K596" s="3" t="s">
        <v>10</v>
      </c>
      <c r="L596" s="2" t="s">
        <v>9</v>
      </c>
    </row>
    <row r="597" spans="1:12" x14ac:dyDescent="0.25">
      <c r="A597" s="5">
        <v>45924</v>
      </c>
      <c r="B597" t="s">
        <v>338</v>
      </c>
      <c r="G597" t="s">
        <v>339</v>
      </c>
      <c r="I597" t="s">
        <v>18</v>
      </c>
      <c r="J597" s="6">
        <v>114400</v>
      </c>
    </row>
    <row r="598" spans="1:12" x14ac:dyDescent="0.25">
      <c r="I598" t="s">
        <v>19</v>
      </c>
      <c r="J598" s="6">
        <v>46000</v>
      </c>
    </row>
    <row r="599" spans="1:12" x14ac:dyDescent="0.25">
      <c r="I599" t="s">
        <v>151</v>
      </c>
      <c r="J599" s="6">
        <v>30000</v>
      </c>
    </row>
    <row r="600" spans="1:12" x14ac:dyDescent="0.25">
      <c r="I600" t="s">
        <v>340</v>
      </c>
      <c r="J600" s="6">
        <v>350000</v>
      </c>
    </row>
    <row r="602" spans="1:12" x14ac:dyDescent="0.25">
      <c r="I602" t="s">
        <v>22</v>
      </c>
      <c r="J602" s="6">
        <f>SUM(J597:J601)</f>
        <v>540400</v>
      </c>
    </row>
    <row r="604" spans="1:12" x14ac:dyDescent="0.25">
      <c r="A604" s="1" t="s">
        <v>0</v>
      </c>
      <c r="B604" s="1" t="s">
        <v>1</v>
      </c>
      <c r="C604" s="1" t="s">
        <v>2</v>
      </c>
      <c r="D604" s="1" t="s">
        <v>3</v>
      </c>
      <c r="E604" s="1" t="s">
        <v>4</v>
      </c>
      <c r="F604" s="2" t="s">
        <v>5</v>
      </c>
      <c r="G604" s="3" t="s">
        <v>6</v>
      </c>
      <c r="H604" s="3" t="s">
        <v>7</v>
      </c>
      <c r="I604" s="4" t="s">
        <v>8</v>
      </c>
      <c r="J604" s="2" t="s">
        <v>9</v>
      </c>
      <c r="K604" s="3" t="s">
        <v>10</v>
      </c>
      <c r="L604" s="2" t="s">
        <v>9</v>
      </c>
    </row>
    <row r="605" spans="1:12" x14ac:dyDescent="0.25">
      <c r="A605" s="5">
        <v>45925</v>
      </c>
      <c r="B605" t="s">
        <v>110</v>
      </c>
      <c r="C605" t="s">
        <v>341</v>
      </c>
      <c r="D605" t="s">
        <v>25</v>
      </c>
      <c r="F605" s="6">
        <v>44162</v>
      </c>
      <c r="G605" t="s">
        <v>342</v>
      </c>
      <c r="H605">
        <v>3112143853</v>
      </c>
      <c r="I605" t="s">
        <v>70</v>
      </c>
      <c r="J605" s="6">
        <v>360000</v>
      </c>
    </row>
    <row r="606" spans="1:12" x14ac:dyDescent="0.25">
      <c r="I606" t="s">
        <v>34</v>
      </c>
      <c r="J606" s="6">
        <v>156000</v>
      </c>
    </row>
    <row r="607" spans="1:12" x14ac:dyDescent="0.25">
      <c r="I607" t="s">
        <v>198</v>
      </c>
      <c r="J607" s="6">
        <v>240000</v>
      </c>
    </row>
    <row r="608" spans="1:12" x14ac:dyDescent="0.25">
      <c r="I608" t="s">
        <v>19</v>
      </c>
      <c r="J608" s="6">
        <v>46000</v>
      </c>
    </row>
    <row r="609" spans="1:12" x14ac:dyDescent="0.25">
      <c r="I609" t="s">
        <v>21</v>
      </c>
      <c r="J609" s="6">
        <v>25000</v>
      </c>
    </row>
    <row r="611" spans="1:12" x14ac:dyDescent="0.25">
      <c r="I611" t="s">
        <v>22</v>
      </c>
      <c r="J611" s="6">
        <f>SUM(J605:J610)</f>
        <v>827000</v>
      </c>
    </row>
    <row r="613" spans="1:12" x14ac:dyDescent="0.25">
      <c r="A613" s="1" t="s">
        <v>0</v>
      </c>
      <c r="B613" s="1" t="s">
        <v>1</v>
      </c>
      <c r="C613" s="1" t="s">
        <v>2</v>
      </c>
      <c r="D613" s="1" t="s">
        <v>3</v>
      </c>
      <c r="E613" s="1" t="s">
        <v>4</v>
      </c>
      <c r="F613" s="2" t="s">
        <v>5</v>
      </c>
      <c r="G613" s="3" t="s">
        <v>6</v>
      </c>
      <c r="H613" s="3" t="s">
        <v>7</v>
      </c>
      <c r="I613" s="4" t="s">
        <v>8</v>
      </c>
      <c r="J613" s="2" t="s">
        <v>9</v>
      </c>
      <c r="K613" s="3" t="s">
        <v>10</v>
      </c>
      <c r="L613" s="2" t="s">
        <v>9</v>
      </c>
    </row>
    <row r="614" spans="1:12" x14ac:dyDescent="0.25">
      <c r="A614" s="5">
        <v>45926</v>
      </c>
      <c r="B614" t="s">
        <v>136</v>
      </c>
      <c r="C614" t="s">
        <v>348</v>
      </c>
      <c r="D614" t="s">
        <v>248</v>
      </c>
      <c r="F614" s="6">
        <v>20409</v>
      </c>
      <c r="I614" t="s">
        <v>34</v>
      </c>
      <c r="J614" s="6">
        <v>20000</v>
      </c>
    </row>
    <row r="615" spans="1:12" x14ac:dyDescent="0.25">
      <c r="I615" t="s">
        <v>349</v>
      </c>
      <c r="J615" s="6">
        <v>40000</v>
      </c>
    </row>
    <row r="617" spans="1:12" x14ac:dyDescent="0.25">
      <c r="I617" t="s">
        <v>22</v>
      </c>
      <c r="J617" s="6">
        <f>SUM(J614:J616)</f>
        <v>60000</v>
      </c>
    </row>
    <row r="619" spans="1:12" x14ac:dyDescent="0.25">
      <c r="A619" s="1" t="s">
        <v>0</v>
      </c>
      <c r="B619" s="1" t="s">
        <v>1</v>
      </c>
      <c r="C619" s="1" t="s">
        <v>2</v>
      </c>
      <c r="D619" s="1" t="s">
        <v>3</v>
      </c>
      <c r="E619" s="1" t="s">
        <v>4</v>
      </c>
      <c r="F619" s="2" t="s">
        <v>5</v>
      </c>
      <c r="G619" s="3" t="s">
        <v>6</v>
      </c>
      <c r="H619" s="3" t="s">
        <v>7</v>
      </c>
      <c r="I619" s="4" t="s">
        <v>8</v>
      </c>
      <c r="J619" s="2" t="s">
        <v>9</v>
      </c>
      <c r="K619" s="3" t="s">
        <v>10</v>
      </c>
      <c r="L619" s="2" t="s">
        <v>9</v>
      </c>
    </row>
    <row r="620" spans="1:12" x14ac:dyDescent="0.25">
      <c r="A620" s="5">
        <v>45926</v>
      </c>
      <c r="B620" t="s">
        <v>31</v>
      </c>
      <c r="C620" t="s">
        <v>260</v>
      </c>
      <c r="D620" t="s">
        <v>45</v>
      </c>
      <c r="G620" t="s">
        <v>261</v>
      </c>
      <c r="I620" t="s">
        <v>350</v>
      </c>
      <c r="J620" s="6">
        <v>960000</v>
      </c>
    </row>
    <row r="621" spans="1:12" x14ac:dyDescent="0.25">
      <c r="I621" t="s">
        <v>61</v>
      </c>
      <c r="J621" s="6">
        <v>150000</v>
      </c>
    </row>
    <row r="622" spans="1:12" x14ac:dyDescent="0.25">
      <c r="I622" t="s">
        <v>351</v>
      </c>
      <c r="J622" s="6">
        <v>160000</v>
      </c>
    </row>
    <row r="624" spans="1:12" x14ac:dyDescent="0.25">
      <c r="I624" t="s">
        <v>22</v>
      </c>
      <c r="J624" s="6">
        <f>SUM(J620:J623)</f>
        <v>1270000</v>
      </c>
    </row>
    <row r="626" spans="1:12" x14ac:dyDescent="0.25">
      <c r="A626" s="1" t="s">
        <v>0</v>
      </c>
      <c r="B626" s="1" t="s">
        <v>1</v>
      </c>
      <c r="C626" s="1" t="s">
        <v>2</v>
      </c>
      <c r="D626" s="1" t="s">
        <v>3</v>
      </c>
      <c r="E626" s="1" t="s">
        <v>4</v>
      </c>
      <c r="F626" s="2" t="s">
        <v>5</v>
      </c>
      <c r="G626" s="3" t="s">
        <v>6</v>
      </c>
      <c r="H626" s="3" t="s">
        <v>7</v>
      </c>
      <c r="I626" s="4" t="s">
        <v>8</v>
      </c>
      <c r="J626" s="2" t="s">
        <v>9</v>
      </c>
      <c r="K626" s="3" t="s">
        <v>10</v>
      </c>
      <c r="L626" s="2" t="s">
        <v>9</v>
      </c>
    </row>
    <row r="627" spans="1:12" x14ac:dyDescent="0.25">
      <c r="A627" s="5">
        <v>45926</v>
      </c>
      <c r="B627" t="s">
        <v>31</v>
      </c>
      <c r="C627" t="s">
        <v>352</v>
      </c>
      <c r="D627" t="s">
        <v>25</v>
      </c>
      <c r="F627" s="6">
        <v>50392</v>
      </c>
      <c r="G627" t="s">
        <v>353</v>
      </c>
      <c r="I627" t="s">
        <v>107</v>
      </c>
      <c r="J627" s="6">
        <v>120000</v>
      </c>
    </row>
    <row r="628" spans="1:12" x14ac:dyDescent="0.25">
      <c r="I628" t="s">
        <v>354</v>
      </c>
      <c r="J628" s="6">
        <v>50000</v>
      </c>
    </row>
    <row r="629" spans="1:12" x14ac:dyDescent="0.25">
      <c r="I629" t="s">
        <v>34</v>
      </c>
      <c r="J629" s="6">
        <v>248000</v>
      </c>
    </row>
    <row r="630" spans="1:12" x14ac:dyDescent="0.25">
      <c r="I630" t="s">
        <v>19</v>
      </c>
      <c r="J630" s="6">
        <v>46000</v>
      </c>
    </row>
    <row r="631" spans="1:12" x14ac:dyDescent="0.25">
      <c r="I631" t="s">
        <v>37</v>
      </c>
      <c r="J631" s="6">
        <v>40000</v>
      </c>
    </row>
    <row r="633" spans="1:12" x14ac:dyDescent="0.25">
      <c r="I633" t="s">
        <v>22</v>
      </c>
      <c r="J633" s="6">
        <f>SUM(J627:J632)</f>
        <v>504000</v>
      </c>
    </row>
    <row r="635" spans="1:12" x14ac:dyDescent="0.25">
      <c r="A635" s="1" t="s">
        <v>0</v>
      </c>
      <c r="B635" s="1" t="s">
        <v>1</v>
      </c>
      <c r="C635" s="1" t="s">
        <v>2</v>
      </c>
      <c r="D635" s="1" t="s">
        <v>3</v>
      </c>
      <c r="E635" s="1" t="s">
        <v>4</v>
      </c>
      <c r="F635" s="2" t="s">
        <v>5</v>
      </c>
      <c r="G635" s="3" t="s">
        <v>6</v>
      </c>
      <c r="H635" s="3" t="s">
        <v>7</v>
      </c>
      <c r="I635" s="4" t="s">
        <v>8</v>
      </c>
      <c r="J635" s="2" t="s">
        <v>9</v>
      </c>
      <c r="K635" s="3" t="s">
        <v>10</v>
      </c>
      <c r="L635" s="2" t="s">
        <v>9</v>
      </c>
    </row>
    <row r="636" spans="1:12" x14ac:dyDescent="0.25">
      <c r="A636" s="5">
        <v>45926</v>
      </c>
      <c r="B636" t="s">
        <v>31</v>
      </c>
      <c r="C636" t="s">
        <v>355</v>
      </c>
      <c r="D636" t="s">
        <v>45</v>
      </c>
      <c r="F636" s="6">
        <v>113257</v>
      </c>
      <c r="G636" t="s">
        <v>356</v>
      </c>
      <c r="H636">
        <v>3115904675</v>
      </c>
      <c r="I636" t="s">
        <v>357</v>
      </c>
      <c r="J636" s="6">
        <v>240000</v>
      </c>
    </row>
    <row r="637" spans="1:12" x14ac:dyDescent="0.25">
      <c r="I637" t="s">
        <v>21</v>
      </c>
      <c r="J637" s="6">
        <v>25000</v>
      </c>
    </row>
    <row r="638" spans="1:12" x14ac:dyDescent="0.25">
      <c r="I638" t="s">
        <v>61</v>
      </c>
      <c r="J638" s="6">
        <v>50000</v>
      </c>
    </row>
    <row r="639" spans="1:12" x14ac:dyDescent="0.25">
      <c r="I639" t="s">
        <v>358</v>
      </c>
      <c r="J639" s="6">
        <v>12000</v>
      </c>
    </row>
    <row r="640" spans="1:12" x14ac:dyDescent="0.25">
      <c r="I640" t="s">
        <v>359</v>
      </c>
      <c r="J640" s="6">
        <v>112000</v>
      </c>
    </row>
    <row r="641" spans="1:12" x14ac:dyDescent="0.25">
      <c r="I641" t="s">
        <v>360</v>
      </c>
      <c r="J641" s="6">
        <v>65000</v>
      </c>
    </row>
    <row r="642" spans="1:12" x14ac:dyDescent="0.25">
      <c r="I642" t="s">
        <v>361</v>
      </c>
      <c r="J642" s="6">
        <v>55000</v>
      </c>
    </row>
    <row r="644" spans="1:12" x14ac:dyDescent="0.25">
      <c r="I644" t="s">
        <v>22</v>
      </c>
      <c r="J644" s="6">
        <f>SUM(J636:J643)</f>
        <v>559000</v>
      </c>
    </row>
    <row r="646" spans="1:12" x14ac:dyDescent="0.25">
      <c r="A646" s="1" t="s">
        <v>0</v>
      </c>
      <c r="B646" s="1" t="s">
        <v>1</v>
      </c>
      <c r="C646" s="1" t="s">
        <v>2</v>
      </c>
      <c r="D646" s="1" t="s">
        <v>3</v>
      </c>
      <c r="E646" s="1" t="s">
        <v>4</v>
      </c>
      <c r="F646" s="2" t="s">
        <v>5</v>
      </c>
      <c r="G646" s="3" t="s">
        <v>6</v>
      </c>
      <c r="H646" s="3" t="s">
        <v>7</v>
      </c>
      <c r="I646" s="4" t="s">
        <v>8</v>
      </c>
      <c r="J646" s="2" t="s">
        <v>9</v>
      </c>
      <c r="K646" s="3" t="s">
        <v>10</v>
      </c>
      <c r="L646" s="2" t="s">
        <v>9</v>
      </c>
    </row>
    <row r="647" spans="1:12" x14ac:dyDescent="0.25">
      <c r="A647" s="5">
        <v>45926</v>
      </c>
      <c r="B647" t="s">
        <v>31</v>
      </c>
      <c r="C647" t="s">
        <v>362</v>
      </c>
      <c r="D647" t="s">
        <v>45</v>
      </c>
      <c r="F647" s="6">
        <v>120028</v>
      </c>
      <c r="G647" t="s">
        <v>363</v>
      </c>
      <c r="I647" t="s">
        <v>364</v>
      </c>
      <c r="J647" s="6">
        <v>540000</v>
      </c>
    </row>
    <row r="648" spans="1:12" x14ac:dyDescent="0.25">
      <c r="I648" t="s">
        <v>61</v>
      </c>
      <c r="J648" s="6">
        <v>150000</v>
      </c>
    </row>
    <row r="649" spans="1:12" x14ac:dyDescent="0.25">
      <c r="I649" t="s">
        <v>34</v>
      </c>
      <c r="J649" s="6">
        <v>240000</v>
      </c>
    </row>
    <row r="650" spans="1:12" x14ac:dyDescent="0.25">
      <c r="I650" t="s">
        <v>365</v>
      </c>
      <c r="J650" s="6">
        <v>46000</v>
      </c>
    </row>
    <row r="651" spans="1:12" x14ac:dyDescent="0.25">
      <c r="I651" t="s">
        <v>366</v>
      </c>
      <c r="J651" s="6">
        <v>90000</v>
      </c>
    </row>
    <row r="652" spans="1:12" x14ac:dyDescent="0.25">
      <c r="I652" t="s">
        <v>107</v>
      </c>
      <c r="J652" s="6">
        <v>120000</v>
      </c>
    </row>
    <row r="654" spans="1:12" x14ac:dyDescent="0.25">
      <c r="I654" t="s">
        <v>22</v>
      </c>
      <c r="J654" s="6">
        <f>SUM(J647:J653)</f>
        <v>1186000</v>
      </c>
    </row>
    <row r="656" spans="1:12" x14ac:dyDescent="0.25">
      <c r="A656" s="1" t="s">
        <v>0</v>
      </c>
      <c r="B656" s="1" t="s">
        <v>1</v>
      </c>
      <c r="C656" s="1" t="s">
        <v>2</v>
      </c>
      <c r="D656" s="1" t="s">
        <v>3</v>
      </c>
      <c r="E656" s="1" t="s">
        <v>4</v>
      </c>
      <c r="F656" s="2" t="s">
        <v>5</v>
      </c>
      <c r="G656" s="3" t="s">
        <v>6</v>
      </c>
      <c r="H656" s="3" t="s">
        <v>7</v>
      </c>
      <c r="I656" s="4" t="s">
        <v>8</v>
      </c>
      <c r="J656" s="2" t="s">
        <v>9</v>
      </c>
      <c r="K656" s="3" t="s">
        <v>10</v>
      </c>
      <c r="L656" s="2" t="s">
        <v>9</v>
      </c>
    </row>
    <row r="657" spans="1:12" x14ac:dyDescent="0.25">
      <c r="A657" s="5">
        <v>45926</v>
      </c>
      <c r="B657" t="s">
        <v>136</v>
      </c>
      <c r="C657" t="s">
        <v>247</v>
      </c>
      <c r="D657" t="s">
        <v>248</v>
      </c>
      <c r="F657" s="6">
        <v>36167</v>
      </c>
      <c r="G657" t="s">
        <v>249</v>
      </c>
      <c r="H657">
        <v>3132119096</v>
      </c>
      <c r="I657" t="s">
        <v>250</v>
      </c>
    </row>
    <row r="658" spans="1:12" x14ac:dyDescent="0.25">
      <c r="H658">
        <v>3052670282</v>
      </c>
    </row>
    <row r="659" spans="1:12" x14ac:dyDescent="0.25">
      <c r="I659" t="s">
        <v>22</v>
      </c>
      <c r="J659" s="6">
        <v>240000</v>
      </c>
    </row>
    <row r="661" spans="1:12" x14ac:dyDescent="0.25">
      <c r="A661" s="1" t="s">
        <v>0</v>
      </c>
      <c r="B661" s="1" t="s">
        <v>1</v>
      </c>
      <c r="C661" s="1" t="s">
        <v>2</v>
      </c>
      <c r="D661" s="1" t="s">
        <v>3</v>
      </c>
      <c r="E661" s="1" t="s">
        <v>4</v>
      </c>
      <c r="F661" s="2" t="s">
        <v>5</v>
      </c>
      <c r="G661" s="3" t="s">
        <v>6</v>
      </c>
      <c r="H661" s="3" t="s">
        <v>7</v>
      </c>
      <c r="I661" s="4" t="s">
        <v>8</v>
      </c>
      <c r="J661" s="2" t="s">
        <v>9</v>
      </c>
      <c r="K661" s="3" t="s">
        <v>10</v>
      </c>
      <c r="L661" s="2" t="s">
        <v>9</v>
      </c>
    </row>
    <row r="662" spans="1:12" x14ac:dyDescent="0.25">
      <c r="A662" s="5">
        <v>45927</v>
      </c>
      <c r="B662" t="s">
        <v>31</v>
      </c>
      <c r="C662" t="s">
        <v>367</v>
      </c>
      <c r="D662" t="s">
        <v>45</v>
      </c>
      <c r="E662">
        <v>2010</v>
      </c>
      <c r="F662" s="6">
        <v>83693</v>
      </c>
      <c r="G662" t="s">
        <v>368</v>
      </c>
      <c r="I662" t="s">
        <v>21</v>
      </c>
      <c r="J662" s="6">
        <v>25000</v>
      </c>
    </row>
    <row r="663" spans="1:12" x14ac:dyDescent="0.25">
      <c r="I663" t="s">
        <v>369</v>
      </c>
      <c r="J663" s="6">
        <v>90000</v>
      </c>
    </row>
    <row r="664" spans="1:12" x14ac:dyDescent="0.25">
      <c r="I664" t="s">
        <v>70</v>
      </c>
      <c r="J664" s="6">
        <v>250000</v>
      </c>
    </row>
    <row r="665" spans="1:12" x14ac:dyDescent="0.25">
      <c r="I665" t="s">
        <v>34</v>
      </c>
      <c r="J665" s="6">
        <v>390000</v>
      </c>
    </row>
    <row r="666" spans="1:12" x14ac:dyDescent="0.25">
      <c r="I666" t="s">
        <v>19</v>
      </c>
      <c r="J666" s="6">
        <v>180000</v>
      </c>
    </row>
    <row r="667" spans="1:12" x14ac:dyDescent="0.25">
      <c r="I667" t="s">
        <v>50</v>
      </c>
      <c r="J667" s="6">
        <v>46000</v>
      </c>
    </row>
    <row r="668" spans="1:12" x14ac:dyDescent="0.25">
      <c r="I668" t="s">
        <v>370</v>
      </c>
      <c r="J668" s="6">
        <v>80000</v>
      </c>
    </row>
    <row r="669" spans="1:12" x14ac:dyDescent="0.25">
      <c r="I669" t="s">
        <v>257</v>
      </c>
      <c r="J669" s="6">
        <v>90000</v>
      </c>
    </row>
    <row r="670" spans="1:12" x14ac:dyDescent="0.25">
      <c r="I670" t="s">
        <v>371</v>
      </c>
      <c r="J670" s="6">
        <v>100000</v>
      </c>
    </row>
    <row r="672" spans="1:12" x14ac:dyDescent="0.25">
      <c r="I672" t="s">
        <v>22</v>
      </c>
      <c r="J672" s="6">
        <f>SUM(J662:J671)</f>
        <v>1251000</v>
      </c>
    </row>
    <row r="674" spans="1:12" x14ac:dyDescent="0.25">
      <c r="A674" s="1" t="s">
        <v>0</v>
      </c>
      <c r="B674" s="1" t="s">
        <v>1</v>
      </c>
      <c r="C674" s="1" t="s">
        <v>2</v>
      </c>
      <c r="D674" s="1" t="s">
        <v>3</v>
      </c>
      <c r="E674" s="1" t="s">
        <v>4</v>
      </c>
      <c r="F674" s="2" t="s">
        <v>5</v>
      </c>
      <c r="G674" s="3" t="s">
        <v>6</v>
      </c>
      <c r="H674" s="3" t="s">
        <v>7</v>
      </c>
      <c r="I674" s="4" t="s">
        <v>8</v>
      </c>
      <c r="J674" s="2" t="s">
        <v>9</v>
      </c>
      <c r="K674" s="3" t="s">
        <v>10</v>
      </c>
      <c r="L674" s="2" t="s">
        <v>9</v>
      </c>
    </row>
    <row r="675" spans="1:12" x14ac:dyDescent="0.25">
      <c r="A675" s="5">
        <v>45927</v>
      </c>
      <c r="B675" t="s">
        <v>110</v>
      </c>
      <c r="C675" t="s">
        <v>372</v>
      </c>
      <c r="D675" t="s">
        <v>25</v>
      </c>
      <c r="F675" s="6">
        <v>80096</v>
      </c>
      <c r="G675" t="s">
        <v>373</v>
      </c>
      <c r="I675" t="s">
        <v>374</v>
      </c>
      <c r="J675" s="6">
        <v>160000</v>
      </c>
    </row>
    <row r="676" spans="1:12" x14ac:dyDescent="0.25">
      <c r="I676" t="s">
        <v>146</v>
      </c>
      <c r="J676" s="6">
        <v>40000</v>
      </c>
    </row>
    <row r="677" spans="1:12" x14ac:dyDescent="0.25">
      <c r="I677" t="s">
        <v>134</v>
      </c>
      <c r="J677" s="6">
        <v>40000</v>
      </c>
    </row>
    <row r="679" spans="1:12" x14ac:dyDescent="0.25">
      <c r="I679" t="s">
        <v>22</v>
      </c>
      <c r="J679" s="6">
        <f>SUM(J675:J678)</f>
        <v>240000</v>
      </c>
    </row>
    <row r="681" spans="1:12" x14ac:dyDescent="0.25">
      <c r="A681" s="1" t="s">
        <v>0</v>
      </c>
      <c r="B681" s="1" t="s">
        <v>1</v>
      </c>
      <c r="C681" s="1" t="s">
        <v>2</v>
      </c>
      <c r="D681" s="1" t="s">
        <v>3</v>
      </c>
      <c r="E681" s="1" t="s">
        <v>4</v>
      </c>
      <c r="F681" s="2" t="s">
        <v>5</v>
      </c>
      <c r="G681" s="3" t="s">
        <v>6</v>
      </c>
      <c r="H681" s="3" t="s">
        <v>7</v>
      </c>
      <c r="I681" s="4" t="s">
        <v>8</v>
      </c>
      <c r="J681" s="2" t="s">
        <v>9</v>
      </c>
      <c r="K681" s="3" t="s">
        <v>10</v>
      </c>
      <c r="L681" s="2" t="s">
        <v>9</v>
      </c>
    </row>
    <row r="682" spans="1:12" x14ac:dyDescent="0.25">
      <c r="A682" s="5">
        <v>45927</v>
      </c>
      <c r="B682" t="s">
        <v>375</v>
      </c>
      <c r="C682" t="s">
        <v>376</v>
      </c>
      <c r="D682" t="s">
        <v>138</v>
      </c>
      <c r="F682" s="6">
        <v>56080</v>
      </c>
      <c r="I682" t="s">
        <v>34</v>
      </c>
      <c r="J682" s="6">
        <v>45000</v>
      </c>
    </row>
    <row r="683" spans="1:12" x14ac:dyDescent="0.25">
      <c r="I683" t="s">
        <v>61</v>
      </c>
      <c r="J683" s="6">
        <v>25000</v>
      </c>
    </row>
    <row r="685" spans="1:12" x14ac:dyDescent="0.25">
      <c r="I685" t="s">
        <v>22</v>
      </c>
      <c r="J685" s="6">
        <f>SUM(J682:J684)</f>
        <v>70000</v>
      </c>
    </row>
    <row r="687" spans="1:12" x14ac:dyDescent="0.25">
      <c r="A687" s="1" t="s">
        <v>0</v>
      </c>
      <c r="B687" s="1" t="s">
        <v>1</v>
      </c>
      <c r="C687" s="1" t="s">
        <v>2</v>
      </c>
      <c r="D687" s="1" t="s">
        <v>3</v>
      </c>
      <c r="E687" s="1" t="s">
        <v>4</v>
      </c>
      <c r="F687" s="2" t="s">
        <v>5</v>
      </c>
      <c r="G687" s="3" t="s">
        <v>6</v>
      </c>
      <c r="H687" s="3" t="s">
        <v>7</v>
      </c>
      <c r="I687" s="4" t="s">
        <v>8</v>
      </c>
      <c r="J687" s="2" t="s">
        <v>9</v>
      </c>
      <c r="K687" s="3" t="s">
        <v>10</v>
      </c>
      <c r="L687" s="2" t="s">
        <v>9</v>
      </c>
    </row>
    <row r="688" spans="1:12" x14ac:dyDescent="0.25">
      <c r="A688" s="5">
        <v>45927</v>
      </c>
      <c r="B688" t="s">
        <v>31</v>
      </c>
      <c r="C688" t="s">
        <v>377</v>
      </c>
      <c r="D688" t="s">
        <v>12</v>
      </c>
      <c r="F688" s="6">
        <v>125445</v>
      </c>
      <c r="G688" t="s">
        <v>378</v>
      </c>
      <c r="I688" t="s">
        <v>379</v>
      </c>
      <c r="J688" s="6">
        <v>120000</v>
      </c>
    </row>
    <row r="689" spans="1:12" x14ac:dyDescent="0.25">
      <c r="I689" t="s">
        <v>380</v>
      </c>
      <c r="J689" s="6">
        <v>550000</v>
      </c>
    </row>
    <row r="690" spans="1:12" x14ac:dyDescent="0.25">
      <c r="I690" t="s">
        <v>381</v>
      </c>
      <c r="J690" s="6">
        <v>340000</v>
      </c>
    </row>
    <row r="691" spans="1:12" x14ac:dyDescent="0.25">
      <c r="I691" t="s">
        <v>382</v>
      </c>
      <c r="J691" s="6">
        <v>240000</v>
      </c>
    </row>
    <row r="692" spans="1:12" x14ac:dyDescent="0.25">
      <c r="I692" t="s">
        <v>383</v>
      </c>
      <c r="J692" s="6">
        <v>30000</v>
      </c>
    </row>
    <row r="693" spans="1:12" x14ac:dyDescent="0.25">
      <c r="I693" t="s">
        <v>384</v>
      </c>
      <c r="J693" s="6">
        <v>70000</v>
      </c>
    </row>
    <row r="694" spans="1:12" x14ac:dyDescent="0.25">
      <c r="I694" t="s">
        <v>385</v>
      </c>
      <c r="J694" s="6">
        <v>60000</v>
      </c>
    </row>
    <row r="695" spans="1:12" x14ac:dyDescent="0.25">
      <c r="I695" t="s">
        <v>272</v>
      </c>
      <c r="J695" s="6">
        <v>20000</v>
      </c>
    </row>
    <row r="696" spans="1:12" x14ac:dyDescent="0.25">
      <c r="I696" t="s">
        <v>41</v>
      </c>
      <c r="J696" s="6">
        <v>226000</v>
      </c>
    </row>
    <row r="697" spans="1:12" x14ac:dyDescent="0.25">
      <c r="I697" t="s">
        <v>386</v>
      </c>
      <c r="J697" s="6">
        <v>120000</v>
      </c>
    </row>
    <row r="698" spans="1:12" x14ac:dyDescent="0.25">
      <c r="I698" t="s">
        <v>387</v>
      </c>
      <c r="J698" s="6">
        <v>150000</v>
      </c>
    </row>
    <row r="699" spans="1:12" x14ac:dyDescent="0.25">
      <c r="I699" t="s">
        <v>21</v>
      </c>
      <c r="J699" s="6">
        <v>25000</v>
      </c>
    </row>
    <row r="701" spans="1:12" x14ac:dyDescent="0.25">
      <c r="I701" t="s">
        <v>22</v>
      </c>
      <c r="J701" s="6">
        <f>SUM(J688:J700)</f>
        <v>1951000</v>
      </c>
    </row>
    <row r="703" spans="1:12" x14ac:dyDescent="0.25">
      <c r="A703" s="1" t="s">
        <v>0</v>
      </c>
      <c r="B703" s="1" t="s">
        <v>1</v>
      </c>
      <c r="C703" s="1" t="s">
        <v>2</v>
      </c>
      <c r="D703" s="1" t="s">
        <v>3</v>
      </c>
      <c r="E703" s="1" t="s">
        <v>4</v>
      </c>
      <c r="F703" s="2" t="s">
        <v>5</v>
      </c>
      <c r="G703" s="3" t="s">
        <v>6</v>
      </c>
      <c r="H703" s="3" t="s">
        <v>7</v>
      </c>
      <c r="I703" s="4" t="s">
        <v>8</v>
      </c>
      <c r="J703" s="2" t="s">
        <v>9</v>
      </c>
      <c r="K703" s="3" t="s">
        <v>10</v>
      </c>
      <c r="L703" s="2" t="s">
        <v>9</v>
      </c>
    </row>
    <row r="704" spans="1:12" x14ac:dyDescent="0.25">
      <c r="A704" s="5">
        <v>45927</v>
      </c>
      <c r="B704" t="s">
        <v>229</v>
      </c>
      <c r="C704" t="s">
        <v>388</v>
      </c>
      <c r="D704" t="s">
        <v>25</v>
      </c>
      <c r="F704" s="6">
        <v>16051</v>
      </c>
      <c r="G704" t="s">
        <v>389</v>
      </c>
      <c r="I704" t="s">
        <v>34</v>
      </c>
      <c r="J704" s="6">
        <v>50000</v>
      </c>
    </row>
    <row r="705" spans="1:12" x14ac:dyDescent="0.25">
      <c r="I705" t="s">
        <v>19</v>
      </c>
      <c r="J705" s="6">
        <v>18000</v>
      </c>
    </row>
    <row r="706" spans="1:12" x14ac:dyDescent="0.25">
      <c r="I706" t="s">
        <v>61</v>
      </c>
      <c r="J706" s="6">
        <v>15000</v>
      </c>
    </row>
    <row r="707" spans="1:12" x14ac:dyDescent="0.25">
      <c r="I707" t="s">
        <v>198</v>
      </c>
      <c r="J707" s="6">
        <v>35000</v>
      </c>
    </row>
    <row r="709" spans="1:12" x14ac:dyDescent="0.25">
      <c r="I709" t="s">
        <v>22</v>
      </c>
      <c r="J709" s="6">
        <f>SUM(J704:J708)</f>
        <v>118000</v>
      </c>
    </row>
    <row r="711" spans="1:12" x14ac:dyDescent="0.25">
      <c r="A711" s="1" t="s">
        <v>0</v>
      </c>
      <c r="B711" s="1" t="s">
        <v>1</v>
      </c>
      <c r="C711" s="1" t="s">
        <v>2</v>
      </c>
      <c r="D711" s="1" t="s">
        <v>3</v>
      </c>
      <c r="E711" s="1" t="s">
        <v>4</v>
      </c>
      <c r="F711" s="2" t="s">
        <v>5</v>
      </c>
      <c r="G711" s="3" t="s">
        <v>6</v>
      </c>
      <c r="H711" s="3" t="s">
        <v>7</v>
      </c>
      <c r="I711" s="4" t="s">
        <v>8</v>
      </c>
      <c r="J711" s="2" t="s">
        <v>9</v>
      </c>
      <c r="K711" s="3" t="s">
        <v>10</v>
      </c>
      <c r="L711" s="2" t="s">
        <v>9</v>
      </c>
    </row>
    <row r="712" spans="1:12" x14ac:dyDescent="0.25">
      <c r="A712" s="5">
        <v>45927</v>
      </c>
      <c r="B712" t="s">
        <v>31</v>
      </c>
      <c r="C712" t="s">
        <v>390</v>
      </c>
      <c r="D712" t="s">
        <v>45</v>
      </c>
      <c r="E712">
        <v>2014</v>
      </c>
      <c r="F712" s="6">
        <v>187690</v>
      </c>
      <c r="G712" t="s">
        <v>392</v>
      </c>
      <c r="I712" t="s">
        <v>393</v>
      </c>
      <c r="J712" s="6">
        <v>150000</v>
      </c>
    </row>
    <row r="713" spans="1:12" x14ac:dyDescent="0.25">
      <c r="C713" t="s">
        <v>391</v>
      </c>
      <c r="I713" t="s">
        <v>394</v>
      </c>
      <c r="J713" s="6">
        <v>35000</v>
      </c>
    </row>
    <row r="714" spans="1:12" x14ac:dyDescent="0.25">
      <c r="I714" t="s">
        <v>395</v>
      </c>
      <c r="J714" s="6">
        <v>20000</v>
      </c>
    </row>
    <row r="716" spans="1:12" x14ac:dyDescent="0.25">
      <c r="I716" t="s">
        <v>22</v>
      </c>
      <c r="J716" s="6">
        <f>SUM(J712:J715)</f>
        <v>205000</v>
      </c>
    </row>
    <row r="718" spans="1:12" x14ac:dyDescent="0.25">
      <c r="A718" s="1" t="s">
        <v>0</v>
      </c>
      <c r="B718" s="1" t="s">
        <v>1</v>
      </c>
      <c r="C718" s="1" t="s">
        <v>2</v>
      </c>
      <c r="D718" s="1" t="s">
        <v>3</v>
      </c>
      <c r="E718" s="1" t="s">
        <v>4</v>
      </c>
      <c r="F718" s="2" t="s">
        <v>5</v>
      </c>
      <c r="G718" s="3" t="s">
        <v>6</v>
      </c>
      <c r="H718" s="3" t="s">
        <v>7</v>
      </c>
      <c r="I718" s="4" t="s">
        <v>8</v>
      </c>
      <c r="J718" s="2" t="s">
        <v>9</v>
      </c>
      <c r="K718" s="3" t="s">
        <v>10</v>
      </c>
      <c r="L718" s="2" t="s">
        <v>9</v>
      </c>
    </row>
    <row r="719" spans="1:12" x14ac:dyDescent="0.25">
      <c r="A719" s="5">
        <v>45929</v>
      </c>
      <c r="B719" t="s">
        <v>396</v>
      </c>
      <c r="C719" t="s">
        <v>397</v>
      </c>
      <c r="D719" t="s">
        <v>227</v>
      </c>
      <c r="F719" s="6">
        <v>47343</v>
      </c>
      <c r="G719" t="s">
        <v>398</v>
      </c>
      <c r="I719" t="s">
        <v>399</v>
      </c>
      <c r="J719" s="6">
        <v>350000</v>
      </c>
    </row>
    <row r="720" spans="1:12" x14ac:dyDescent="0.25">
      <c r="I720" t="s">
        <v>61</v>
      </c>
      <c r="J720" s="6">
        <v>80000</v>
      </c>
    </row>
    <row r="721" spans="1:12" x14ac:dyDescent="0.25">
      <c r="I721" t="s">
        <v>400</v>
      </c>
      <c r="J721" s="6">
        <v>35000</v>
      </c>
    </row>
    <row r="723" spans="1:12" x14ac:dyDescent="0.25">
      <c r="I723" t="s">
        <v>22</v>
      </c>
      <c r="J723" s="6">
        <f>SUM(J719:J722)</f>
        <v>465000</v>
      </c>
    </row>
    <row r="725" spans="1:12" x14ac:dyDescent="0.25">
      <c r="A725" s="1" t="s">
        <v>0</v>
      </c>
      <c r="B725" s="1" t="s">
        <v>1</v>
      </c>
      <c r="C725" s="1" t="s">
        <v>2</v>
      </c>
      <c r="D725" s="1" t="s">
        <v>3</v>
      </c>
      <c r="E725" s="1" t="s">
        <v>4</v>
      </c>
      <c r="F725" s="2" t="s">
        <v>5</v>
      </c>
      <c r="G725" s="3" t="s">
        <v>6</v>
      </c>
      <c r="H725" s="3" t="s">
        <v>7</v>
      </c>
      <c r="I725" s="4" t="s">
        <v>8</v>
      </c>
      <c r="J725" s="2" t="s">
        <v>9</v>
      </c>
      <c r="K725" s="3" t="s">
        <v>10</v>
      </c>
      <c r="L725" s="2" t="s">
        <v>9</v>
      </c>
    </row>
    <row r="726" spans="1:12" x14ac:dyDescent="0.25">
      <c r="A726" s="5">
        <v>45929</v>
      </c>
      <c r="B726" t="s">
        <v>31</v>
      </c>
      <c r="C726" t="s">
        <v>401</v>
      </c>
      <c r="D726" t="s">
        <v>25</v>
      </c>
      <c r="F726" s="6">
        <v>58422</v>
      </c>
      <c r="G726" t="s">
        <v>402</v>
      </c>
      <c r="I726" t="s">
        <v>403</v>
      </c>
      <c r="J726" s="6">
        <v>80000</v>
      </c>
    </row>
    <row r="727" spans="1:12" x14ac:dyDescent="0.25">
      <c r="I727" t="s">
        <v>300</v>
      </c>
      <c r="J727" s="6">
        <v>80000</v>
      </c>
    </row>
    <row r="728" spans="1:12" x14ac:dyDescent="0.25">
      <c r="I728" t="s">
        <v>404</v>
      </c>
      <c r="J728" s="6">
        <v>180000</v>
      </c>
    </row>
    <row r="730" spans="1:12" x14ac:dyDescent="0.25">
      <c r="I730" t="s">
        <v>22</v>
      </c>
      <c r="J730" s="6">
        <f>SUM(J726:J729)</f>
        <v>340000</v>
      </c>
    </row>
    <row r="732" spans="1:12" x14ac:dyDescent="0.25">
      <c r="A732" s="1" t="s">
        <v>0</v>
      </c>
      <c r="B732" s="1" t="s">
        <v>1</v>
      </c>
      <c r="C732" s="1" t="s">
        <v>2</v>
      </c>
      <c r="D732" s="1" t="s">
        <v>3</v>
      </c>
      <c r="E732" s="1" t="s">
        <v>4</v>
      </c>
      <c r="F732" s="2" t="s">
        <v>5</v>
      </c>
      <c r="G732" s="3" t="s">
        <v>6</v>
      </c>
      <c r="H732" s="3" t="s">
        <v>7</v>
      </c>
      <c r="I732" s="4" t="s">
        <v>8</v>
      </c>
      <c r="J732" s="2" t="s">
        <v>9</v>
      </c>
      <c r="K732" s="3" t="s">
        <v>10</v>
      </c>
      <c r="L732" s="2" t="s">
        <v>9</v>
      </c>
    </row>
    <row r="733" spans="1:12" x14ac:dyDescent="0.25">
      <c r="A733" s="5">
        <v>45930</v>
      </c>
      <c r="B733" t="s">
        <v>31</v>
      </c>
      <c r="C733" t="s">
        <v>405</v>
      </c>
      <c r="D733" t="s">
        <v>55</v>
      </c>
      <c r="F733" s="6">
        <v>135686</v>
      </c>
      <c r="G733" t="s">
        <v>406</v>
      </c>
      <c r="I733" t="s">
        <v>21</v>
      </c>
      <c r="J733" s="6">
        <v>25000</v>
      </c>
    </row>
    <row r="734" spans="1:12" x14ac:dyDescent="0.25">
      <c r="I734" t="s">
        <v>407</v>
      </c>
      <c r="J734" s="6">
        <v>450000</v>
      </c>
    </row>
    <row r="735" spans="1:12" x14ac:dyDescent="0.25">
      <c r="I735" t="s">
        <v>61</v>
      </c>
      <c r="J735" s="6">
        <v>120000</v>
      </c>
    </row>
    <row r="736" spans="1:12" x14ac:dyDescent="0.25">
      <c r="I736" t="s">
        <v>408</v>
      </c>
      <c r="J736" s="6">
        <v>180000</v>
      </c>
    </row>
    <row r="737" spans="1:12" x14ac:dyDescent="0.25">
      <c r="I737" t="s">
        <v>409</v>
      </c>
      <c r="J737" s="6">
        <v>80000</v>
      </c>
    </row>
    <row r="738" spans="1:12" x14ac:dyDescent="0.25">
      <c r="I738" t="s">
        <v>75</v>
      </c>
      <c r="J738" s="6">
        <v>315000</v>
      </c>
    </row>
    <row r="740" spans="1:12" x14ac:dyDescent="0.25">
      <c r="I740" t="s">
        <v>22</v>
      </c>
      <c r="J740" s="6">
        <f>SUM(J733:J739)</f>
        <v>1170000</v>
      </c>
    </row>
    <row r="742" spans="1:12" x14ac:dyDescent="0.25">
      <c r="A742" s="1" t="s">
        <v>0</v>
      </c>
      <c r="B742" s="1" t="s">
        <v>1</v>
      </c>
      <c r="C742" s="1" t="s">
        <v>2</v>
      </c>
      <c r="D742" s="1" t="s">
        <v>3</v>
      </c>
      <c r="E742" s="1" t="s">
        <v>4</v>
      </c>
      <c r="F742" s="2" t="s">
        <v>5</v>
      </c>
      <c r="G742" s="3" t="s">
        <v>6</v>
      </c>
      <c r="H742" s="3" t="s">
        <v>7</v>
      </c>
      <c r="I742" s="4" t="s">
        <v>8</v>
      </c>
      <c r="J742" s="2" t="s">
        <v>9</v>
      </c>
      <c r="K742" s="3" t="s">
        <v>10</v>
      </c>
      <c r="L742" s="2" t="s">
        <v>9</v>
      </c>
    </row>
    <row r="743" spans="1:12" x14ac:dyDescent="0.25">
      <c r="A743" s="5">
        <v>45930</v>
      </c>
      <c r="B743" t="s">
        <v>229</v>
      </c>
      <c r="C743" t="s">
        <v>410</v>
      </c>
      <c r="D743" t="s">
        <v>25</v>
      </c>
      <c r="F743" s="6">
        <v>15072</v>
      </c>
      <c r="G743" t="s">
        <v>411</v>
      </c>
      <c r="H743">
        <v>3022291584</v>
      </c>
      <c r="I743" t="s">
        <v>34</v>
      </c>
      <c r="J743" s="6">
        <v>50000</v>
      </c>
    </row>
    <row r="744" spans="1:12" x14ac:dyDescent="0.25">
      <c r="I744" t="s">
        <v>19</v>
      </c>
      <c r="J744" s="6">
        <v>18000</v>
      </c>
    </row>
    <row r="745" spans="1:12" x14ac:dyDescent="0.25">
      <c r="I745" t="s">
        <v>21</v>
      </c>
      <c r="J745" s="6">
        <v>25000</v>
      </c>
    </row>
    <row r="746" spans="1:12" x14ac:dyDescent="0.25">
      <c r="I746" t="s">
        <v>412</v>
      </c>
      <c r="J746" s="6">
        <v>8000</v>
      </c>
    </row>
    <row r="747" spans="1:12" x14ac:dyDescent="0.25">
      <c r="I747" t="s">
        <v>413</v>
      </c>
      <c r="J747" s="6">
        <v>10000</v>
      </c>
    </row>
    <row r="748" spans="1:12" x14ac:dyDescent="0.25">
      <c r="I748" t="s">
        <v>414</v>
      </c>
      <c r="J748" s="6">
        <v>30000</v>
      </c>
    </row>
    <row r="750" spans="1:12" x14ac:dyDescent="0.25">
      <c r="I750" t="s">
        <v>22</v>
      </c>
      <c r="J750" s="6">
        <f>SUM(J743:J749)</f>
        <v>141000</v>
      </c>
    </row>
    <row r="752" spans="1:12" x14ac:dyDescent="0.25">
      <c r="A752" s="1" t="s">
        <v>0</v>
      </c>
      <c r="B752" s="1" t="s">
        <v>1</v>
      </c>
      <c r="C752" s="1" t="s">
        <v>2</v>
      </c>
      <c r="D752" s="1" t="s">
        <v>3</v>
      </c>
      <c r="E752" s="1" t="s">
        <v>4</v>
      </c>
      <c r="F752" s="2" t="s">
        <v>5</v>
      </c>
      <c r="G752" s="3" t="s">
        <v>6</v>
      </c>
      <c r="H752" s="3" t="s">
        <v>7</v>
      </c>
      <c r="I752" s="4" t="s">
        <v>8</v>
      </c>
      <c r="J752" s="2" t="s">
        <v>9</v>
      </c>
      <c r="K752" s="3" t="s">
        <v>10</v>
      </c>
      <c r="L752" s="2" t="s">
        <v>9</v>
      </c>
    </row>
    <row r="753" spans="1:12" x14ac:dyDescent="0.25">
      <c r="A753" s="5">
        <v>45930</v>
      </c>
      <c r="B753" t="s">
        <v>31</v>
      </c>
      <c r="C753" t="s">
        <v>415</v>
      </c>
      <c r="D753" t="s">
        <v>45</v>
      </c>
      <c r="E753">
        <v>2014</v>
      </c>
      <c r="F753" s="6">
        <v>96097</v>
      </c>
      <c r="G753" t="s">
        <v>416</v>
      </c>
      <c r="I753" t="s">
        <v>417</v>
      </c>
      <c r="J753" s="6">
        <v>220000</v>
      </c>
    </row>
    <row r="755" spans="1:12" x14ac:dyDescent="0.25">
      <c r="I755" t="s">
        <v>22</v>
      </c>
      <c r="J755" s="6">
        <v>220000</v>
      </c>
    </row>
    <row r="757" spans="1:12" x14ac:dyDescent="0.25">
      <c r="A757" s="1" t="s">
        <v>0</v>
      </c>
      <c r="B757" s="1" t="s">
        <v>1</v>
      </c>
      <c r="C757" s="1" t="s">
        <v>2</v>
      </c>
      <c r="D757" s="1" t="s">
        <v>3</v>
      </c>
      <c r="E757" s="1" t="s">
        <v>4</v>
      </c>
      <c r="F757" s="2" t="s">
        <v>5</v>
      </c>
      <c r="G757" s="3" t="s">
        <v>6</v>
      </c>
      <c r="H757" s="3" t="s">
        <v>7</v>
      </c>
      <c r="I757" s="4" t="s">
        <v>8</v>
      </c>
      <c r="J757" s="2" t="s">
        <v>9</v>
      </c>
      <c r="K757" s="3" t="s">
        <v>10</v>
      </c>
      <c r="L757" s="2" t="s">
        <v>9</v>
      </c>
    </row>
    <row r="758" spans="1:12" x14ac:dyDescent="0.25">
      <c r="A758" s="5">
        <v>45930</v>
      </c>
      <c r="B758" t="s">
        <v>31</v>
      </c>
      <c r="C758" t="s">
        <v>418</v>
      </c>
      <c r="D758" t="s">
        <v>12</v>
      </c>
      <c r="E758">
        <v>2011</v>
      </c>
      <c r="F758" s="6">
        <v>75734</v>
      </c>
      <c r="G758" t="s">
        <v>419</v>
      </c>
      <c r="H758">
        <v>3125957693</v>
      </c>
      <c r="I758" t="s">
        <v>103</v>
      </c>
      <c r="J758" s="6">
        <v>1500000</v>
      </c>
    </row>
    <row r="759" spans="1:12" x14ac:dyDescent="0.25">
      <c r="I759" t="s">
        <v>123</v>
      </c>
      <c r="J759" s="6">
        <v>150000</v>
      </c>
    </row>
    <row r="760" spans="1:12" x14ac:dyDescent="0.25">
      <c r="I760" t="s">
        <v>420</v>
      </c>
      <c r="J760" s="6">
        <v>280000</v>
      </c>
    </row>
    <row r="761" spans="1:12" x14ac:dyDescent="0.25">
      <c r="I761" t="s">
        <v>421</v>
      </c>
      <c r="J761" s="6">
        <v>45000</v>
      </c>
    </row>
    <row r="762" spans="1:12" x14ac:dyDescent="0.25">
      <c r="I762" t="s">
        <v>37</v>
      </c>
      <c r="J762" s="6">
        <v>40000</v>
      </c>
    </row>
    <row r="764" spans="1:12" x14ac:dyDescent="0.25">
      <c r="I764" t="s">
        <v>22</v>
      </c>
      <c r="J764" s="6">
        <f>SUM(J758:J763)</f>
        <v>2015000</v>
      </c>
    </row>
    <row r="766" spans="1:12" x14ac:dyDescent="0.25">
      <c r="A766" s="1" t="s">
        <v>0</v>
      </c>
      <c r="B766" s="1" t="s">
        <v>1</v>
      </c>
      <c r="C766" s="1" t="s">
        <v>2</v>
      </c>
      <c r="D766" s="1" t="s">
        <v>3</v>
      </c>
      <c r="E766" s="1" t="s">
        <v>4</v>
      </c>
      <c r="F766" s="2" t="s">
        <v>5</v>
      </c>
      <c r="G766" s="3" t="s">
        <v>6</v>
      </c>
      <c r="H766" s="3" t="s">
        <v>7</v>
      </c>
      <c r="I766" s="4" t="s">
        <v>8</v>
      </c>
      <c r="J766" s="2" t="s">
        <v>9</v>
      </c>
      <c r="K766" s="3" t="s">
        <v>10</v>
      </c>
      <c r="L766" s="2" t="s">
        <v>9</v>
      </c>
    </row>
    <row r="767" spans="1:12" x14ac:dyDescent="0.25">
      <c r="A767" s="5">
        <v>45933</v>
      </c>
      <c r="B767" t="s">
        <v>422</v>
      </c>
      <c r="C767" t="s">
        <v>423</v>
      </c>
      <c r="D767" t="s">
        <v>25</v>
      </c>
      <c r="G767" t="s">
        <v>424</v>
      </c>
      <c r="H767">
        <v>3125084568</v>
      </c>
      <c r="I767" t="s">
        <v>425</v>
      </c>
      <c r="J767" s="6">
        <v>250000</v>
      </c>
    </row>
    <row r="768" spans="1:12" x14ac:dyDescent="0.25">
      <c r="I768" t="s">
        <v>426</v>
      </c>
      <c r="J768" s="6">
        <v>85000</v>
      </c>
    </row>
    <row r="769" spans="1:12" x14ac:dyDescent="0.25">
      <c r="I769" t="s">
        <v>427</v>
      </c>
      <c r="J769" s="6">
        <v>320000</v>
      </c>
    </row>
    <row r="770" spans="1:12" x14ac:dyDescent="0.25">
      <c r="I770" t="s">
        <v>428</v>
      </c>
      <c r="J770" s="6">
        <v>35000</v>
      </c>
    </row>
    <row r="771" spans="1:12" x14ac:dyDescent="0.25">
      <c r="I771" t="s">
        <v>429</v>
      </c>
      <c r="J771" s="6">
        <v>10800</v>
      </c>
    </row>
    <row r="772" spans="1:12" x14ac:dyDescent="0.25">
      <c r="I772" t="s">
        <v>182</v>
      </c>
      <c r="J772" s="6">
        <v>68000</v>
      </c>
    </row>
    <row r="773" spans="1:12" x14ac:dyDescent="0.25">
      <c r="I773" t="s">
        <v>34</v>
      </c>
      <c r="J773" s="6">
        <v>54000</v>
      </c>
    </row>
    <row r="774" spans="1:12" x14ac:dyDescent="0.25">
      <c r="I774" t="s">
        <v>19</v>
      </c>
      <c r="J774" s="6">
        <v>16000</v>
      </c>
    </row>
    <row r="775" spans="1:12" x14ac:dyDescent="0.25">
      <c r="I775" t="s">
        <v>100</v>
      </c>
      <c r="J775" s="6">
        <v>8000</v>
      </c>
    </row>
    <row r="777" spans="1:12" x14ac:dyDescent="0.25">
      <c r="I777" t="s">
        <v>22</v>
      </c>
      <c r="J777" s="6">
        <f>SUM(J767:J776)</f>
        <v>846800</v>
      </c>
    </row>
    <row r="779" spans="1:12" x14ac:dyDescent="0.25">
      <c r="A779" s="1" t="s">
        <v>0</v>
      </c>
      <c r="B779" s="1" t="s">
        <v>1</v>
      </c>
      <c r="C779" s="1" t="s">
        <v>2</v>
      </c>
      <c r="D779" s="1" t="s">
        <v>3</v>
      </c>
      <c r="E779" s="1" t="s">
        <v>4</v>
      </c>
      <c r="F779" s="2" t="s">
        <v>5</v>
      </c>
      <c r="G779" s="3" t="s">
        <v>6</v>
      </c>
      <c r="H779" s="3" t="s">
        <v>7</v>
      </c>
      <c r="I779" s="4" t="s">
        <v>8</v>
      </c>
      <c r="J779" s="2" t="s">
        <v>9</v>
      </c>
      <c r="K779" s="3" t="s">
        <v>10</v>
      </c>
      <c r="L779" s="2" t="s">
        <v>9</v>
      </c>
    </row>
    <row r="780" spans="1:12" x14ac:dyDescent="0.25">
      <c r="A780" s="5">
        <v>45933</v>
      </c>
      <c r="B780" t="s">
        <v>294</v>
      </c>
      <c r="C780" t="s">
        <v>516</v>
      </c>
      <c r="D780" t="s">
        <v>25</v>
      </c>
      <c r="F780" s="6">
        <v>55338</v>
      </c>
      <c r="G780" t="s">
        <v>517</v>
      </c>
      <c r="H780">
        <v>3008209036</v>
      </c>
      <c r="I780" t="s">
        <v>518</v>
      </c>
    </row>
    <row r="781" spans="1:12" x14ac:dyDescent="0.25">
      <c r="I781" t="s">
        <v>519</v>
      </c>
    </row>
    <row r="783" spans="1:12" x14ac:dyDescent="0.25">
      <c r="I783" t="s">
        <v>22</v>
      </c>
    </row>
    <row r="785" spans="1:12" x14ac:dyDescent="0.25">
      <c r="A785" s="1" t="s">
        <v>0</v>
      </c>
      <c r="B785" s="1" t="s">
        <v>1</v>
      </c>
      <c r="C785" s="1" t="s">
        <v>2</v>
      </c>
      <c r="D785" s="1" t="s">
        <v>3</v>
      </c>
      <c r="E785" s="1" t="s">
        <v>4</v>
      </c>
      <c r="F785" s="2" t="s">
        <v>5</v>
      </c>
      <c r="G785" s="3" t="s">
        <v>6</v>
      </c>
      <c r="H785" s="3" t="s">
        <v>7</v>
      </c>
      <c r="I785" s="4" t="s">
        <v>8</v>
      </c>
      <c r="J785" s="2" t="s">
        <v>9</v>
      </c>
      <c r="K785" s="3" t="s">
        <v>10</v>
      </c>
      <c r="L785" s="2" t="s">
        <v>9</v>
      </c>
    </row>
    <row r="786" spans="1:12" x14ac:dyDescent="0.25">
      <c r="A786" s="5">
        <v>45933</v>
      </c>
      <c r="B786" t="s">
        <v>31</v>
      </c>
      <c r="C786" t="s">
        <v>436</v>
      </c>
      <c r="D786" t="s">
        <v>12</v>
      </c>
      <c r="E786">
        <v>2017</v>
      </c>
      <c r="F786" s="6">
        <v>72896</v>
      </c>
      <c r="G786" t="s">
        <v>437</v>
      </c>
      <c r="I786" t="s">
        <v>21</v>
      </c>
      <c r="J786" s="6">
        <v>25000</v>
      </c>
    </row>
    <row r="787" spans="1:12" x14ac:dyDescent="0.25">
      <c r="I787" t="s">
        <v>34</v>
      </c>
      <c r="J787" s="6">
        <v>200000</v>
      </c>
    </row>
    <row r="788" spans="1:12" x14ac:dyDescent="0.25">
      <c r="I788" t="s">
        <v>19</v>
      </c>
      <c r="J788" s="6">
        <v>46000</v>
      </c>
    </row>
    <row r="789" spans="1:12" x14ac:dyDescent="0.25">
      <c r="I789" t="s">
        <v>438</v>
      </c>
      <c r="J789" s="6">
        <v>40000</v>
      </c>
    </row>
    <row r="790" spans="1:12" x14ac:dyDescent="0.25">
      <c r="I790" t="s">
        <v>439</v>
      </c>
      <c r="J790" s="6">
        <v>150000</v>
      </c>
    </row>
    <row r="791" spans="1:12" x14ac:dyDescent="0.25">
      <c r="I791" t="s">
        <v>440</v>
      </c>
      <c r="J791" s="6">
        <v>180000</v>
      </c>
    </row>
    <row r="792" spans="1:12" x14ac:dyDescent="0.25">
      <c r="I792" t="s">
        <v>441</v>
      </c>
      <c r="J792" s="6">
        <v>40000</v>
      </c>
    </row>
    <row r="793" spans="1:12" x14ac:dyDescent="0.25">
      <c r="I793" t="s">
        <v>442</v>
      </c>
      <c r="J793" s="6">
        <v>80000</v>
      </c>
    </row>
    <row r="794" spans="1:12" x14ac:dyDescent="0.25">
      <c r="I794" t="s">
        <v>198</v>
      </c>
      <c r="J794" s="6">
        <v>240000</v>
      </c>
    </row>
    <row r="796" spans="1:12" x14ac:dyDescent="0.25">
      <c r="I796" t="s">
        <v>22</v>
      </c>
      <c r="J796" s="6">
        <f>SUM(J786:J795)</f>
        <v>1001000</v>
      </c>
    </row>
    <row r="798" spans="1:12" x14ac:dyDescent="0.25">
      <c r="A798" s="1" t="s">
        <v>0</v>
      </c>
      <c r="B798" s="1" t="s">
        <v>1</v>
      </c>
      <c r="C798" s="1" t="s">
        <v>2</v>
      </c>
      <c r="D798" s="1" t="s">
        <v>3</v>
      </c>
      <c r="E798" s="1" t="s">
        <v>4</v>
      </c>
      <c r="F798" s="2" t="s">
        <v>5</v>
      </c>
      <c r="G798" s="3" t="s">
        <v>6</v>
      </c>
      <c r="H798" s="3" t="s">
        <v>7</v>
      </c>
      <c r="I798" s="4" t="s">
        <v>8</v>
      </c>
      <c r="J798" s="2" t="s">
        <v>9</v>
      </c>
      <c r="K798" s="3" t="s">
        <v>10</v>
      </c>
      <c r="L798" s="2" t="s">
        <v>9</v>
      </c>
    </row>
    <row r="799" spans="1:12" x14ac:dyDescent="0.25">
      <c r="A799" s="5">
        <v>45933</v>
      </c>
      <c r="B799" t="s">
        <v>31</v>
      </c>
      <c r="C799" t="s">
        <v>443</v>
      </c>
      <c r="D799" t="s">
        <v>25</v>
      </c>
      <c r="F799" s="6">
        <v>34312</v>
      </c>
      <c r="G799" t="s">
        <v>444</v>
      </c>
      <c r="I799" t="s">
        <v>445</v>
      </c>
      <c r="J799" s="6">
        <v>120000</v>
      </c>
    </row>
    <row r="800" spans="1:12" x14ac:dyDescent="0.25">
      <c r="I800" t="s">
        <v>446</v>
      </c>
      <c r="J800" s="6">
        <v>120000</v>
      </c>
    </row>
    <row r="802" spans="1:12" x14ac:dyDescent="0.25">
      <c r="I802" t="s">
        <v>22</v>
      </c>
      <c r="J802" s="6">
        <f>SUM(J799:J801)</f>
        <v>240000</v>
      </c>
    </row>
    <row r="804" spans="1:12" x14ac:dyDescent="0.25">
      <c r="A804" s="1" t="s">
        <v>0</v>
      </c>
      <c r="B804" s="1" t="s">
        <v>1</v>
      </c>
      <c r="C804" s="1" t="s">
        <v>2</v>
      </c>
      <c r="D804" s="1" t="s">
        <v>3</v>
      </c>
      <c r="E804" s="1" t="s">
        <v>4</v>
      </c>
      <c r="F804" s="2" t="s">
        <v>5</v>
      </c>
      <c r="G804" s="3" t="s">
        <v>6</v>
      </c>
      <c r="H804" s="3" t="s">
        <v>7</v>
      </c>
      <c r="I804" s="4" t="s">
        <v>8</v>
      </c>
      <c r="J804" s="2" t="s">
        <v>9</v>
      </c>
      <c r="K804" s="3" t="s">
        <v>10</v>
      </c>
      <c r="L804" s="2" t="s">
        <v>9</v>
      </c>
    </row>
    <row r="805" spans="1:12" x14ac:dyDescent="0.25">
      <c r="A805" s="5">
        <v>45933</v>
      </c>
      <c r="B805" t="s">
        <v>447</v>
      </c>
      <c r="D805" t="s">
        <v>25</v>
      </c>
      <c r="I805" t="s">
        <v>34</v>
      </c>
      <c r="J805" s="6">
        <v>55000</v>
      </c>
    </row>
    <row r="806" spans="1:12" x14ac:dyDescent="0.25">
      <c r="A806" s="5"/>
      <c r="I806" t="s">
        <v>448</v>
      </c>
      <c r="J806" s="6">
        <v>30000</v>
      </c>
    </row>
    <row r="807" spans="1:12" x14ac:dyDescent="0.25">
      <c r="I807" t="s">
        <v>449</v>
      </c>
      <c r="J807" s="6">
        <v>15000</v>
      </c>
    </row>
    <row r="809" spans="1:12" x14ac:dyDescent="0.25">
      <c r="I809" t="s">
        <v>22</v>
      </c>
      <c r="J809" s="6">
        <f>SUM(J805:J808)</f>
        <v>100000</v>
      </c>
    </row>
    <row r="811" spans="1:12" x14ac:dyDescent="0.25">
      <c r="A811" s="1" t="s">
        <v>0</v>
      </c>
      <c r="B811" s="1" t="s">
        <v>1</v>
      </c>
      <c r="C811" s="1" t="s">
        <v>2</v>
      </c>
      <c r="D811" s="1" t="s">
        <v>3</v>
      </c>
      <c r="E811" s="1" t="s">
        <v>4</v>
      </c>
      <c r="F811" s="2" t="s">
        <v>5</v>
      </c>
      <c r="G811" s="3" t="s">
        <v>6</v>
      </c>
      <c r="H811" s="3" t="s">
        <v>7</v>
      </c>
      <c r="I811" s="4" t="s">
        <v>8</v>
      </c>
      <c r="J811" s="2" t="s">
        <v>9</v>
      </c>
      <c r="K811" s="3" t="s">
        <v>10</v>
      </c>
      <c r="L811" s="2" t="s">
        <v>9</v>
      </c>
    </row>
    <row r="812" spans="1:12" x14ac:dyDescent="0.25">
      <c r="A812" s="5">
        <v>45933</v>
      </c>
      <c r="B812" t="s">
        <v>31</v>
      </c>
      <c r="C812" t="s">
        <v>450</v>
      </c>
      <c r="D812" t="s">
        <v>12</v>
      </c>
      <c r="E812">
        <v>2017</v>
      </c>
      <c r="F812" s="6">
        <v>70049</v>
      </c>
      <c r="I812" t="s">
        <v>34</v>
      </c>
      <c r="J812" s="6">
        <v>200000</v>
      </c>
    </row>
    <row r="813" spans="1:12" x14ac:dyDescent="0.25">
      <c r="I813" t="s">
        <v>19</v>
      </c>
      <c r="J813" s="6">
        <v>46000</v>
      </c>
    </row>
    <row r="814" spans="1:12" x14ac:dyDescent="0.25">
      <c r="I814" t="s">
        <v>50</v>
      </c>
      <c r="J814" s="6">
        <v>120000</v>
      </c>
    </row>
    <row r="815" spans="1:12" x14ac:dyDescent="0.25">
      <c r="I815" t="s">
        <v>61</v>
      </c>
      <c r="J815" s="6">
        <v>60000</v>
      </c>
    </row>
    <row r="816" spans="1:12" x14ac:dyDescent="0.25">
      <c r="I816" t="s">
        <v>35</v>
      </c>
      <c r="J816" s="6">
        <v>150000</v>
      </c>
    </row>
    <row r="818" spans="1:12" x14ac:dyDescent="0.25">
      <c r="I818" t="s">
        <v>22</v>
      </c>
      <c r="J818" s="6">
        <f>SUM(J812:J817)</f>
        <v>576000</v>
      </c>
    </row>
    <row r="820" spans="1:12" x14ac:dyDescent="0.25">
      <c r="A820" s="1" t="s">
        <v>0</v>
      </c>
      <c r="B820" s="1" t="s">
        <v>1</v>
      </c>
      <c r="C820" s="1" t="s">
        <v>2</v>
      </c>
      <c r="D820" s="1" t="s">
        <v>3</v>
      </c>
      <c r="E820" s="1" t="s">
        <v>4</v>
      </c>
      <c r="F820" s="2" t="s">
        <v>5</v>
      </c>
      <c r="G820" s="3" t="s">
        <v>6</v>
      </c>
      <c r="H820" s="3" t="s">
        <v>7</v>
      </c>
      <c r="I820" s="4" t="s">
        <v>8</v>
      </c>
      <c r="J820" s="2" t="s">
        <v>9</v>
      </c>
      <c r="K820" s="3" t="s">
        <v>10</v>
      </c>
      <c r="L820" s="2" t="s">
        <v>9</v>
      </c>
    </row>
    <row r="821" spans="1:12" x14ac:dyDescent="0.25">
      <c r="A821" s="5">
        <v>45933</v>
      </c>
      <c r="B821" t="s">
        <v>110</v>
      </c>
      <c r="C821" t="s">
        <v>451</v>
      </c>
      <c r="F821" s="6">
        <v>69636</v>
      </c>
      <c r="G821" t="s">
        <v>452</v>
      </c>
      <c r="I821" t="s">
        <v>134</v>
      </c>
    </row>
    <row r="823" spans="1:12" x14ac:dyDescent="0.25">
      <c r="I823" t="s">
        <v>22</v>
      </c>
    </row>
    <row r="825" spans="1:12" x14ac:dyDescent="0.25">
      <c r="A825" s="1" t="s">
        <v>0</v>
      </c>
      <c r="B825" s="1" t="s">
        <v>1</v>
      </c>
      <c r="C825" s="1" t="s">
        <v>2</v>
      </c>
      <c r="D825" s="1" t="s">
        <v>3</v>
      </c>
      <c r="E825" s="1" t="s">
        <v>4</v>
      </c>
      <c r="F825" s="2" t="s">
        <v>5</v>
      </c>
      <c r="G825" s="3" t="s">
        <v>6</v>
      </c>
      <c r="H825" s="3" t="s">
        <v>7</v>
      </c>
      <c r="I825" s="4" t="s">
        <v>8</v>
      </c>
      <c r="J825" s="2" t="s">
        <v>9</v>
      </c>
      <c r="K825" s="3" t="s">
        <v>10</v>
      </c>
      <c r="L825" s="2" t="s">
        <v>9</v>
      </c>
    </row>
    <row r="826" spans="1:12" x14ac:dyDescent="0.25">
      <c r="A826" s="5">
        <v>45933</v>
      </c>
      <c r="B826" t="s">
        <v>31</v>
      </c>
      <c r="C826" t="s">
        <v>453</v>
      </c>
      <c r="F826" s="6">
        <v>81473</v>
      </c>
      <c r="G826" t="s">
        <v>454</v>
      </c>
      <c r="I826" t="s">
        <v>455</v>
      </c>
      <c r="J826" s="6">
        <v>130000</v>
      </c>
    </row>
    <row r="827" spans="1:12" x14ac:dyDescent="0.25">
      <c r="I827" t="s">
        <v>456</v>
      </c>
      <c r="J827" s="6">
        <v>120000</v>
      </c>
    </row>
    <row r="829" spans="1:12" x14ac:dyDescent="0.25">
      <c r="I829" t="s">
        <v>22</v>
      </c>
      <c r="J829" s="6">
        <f>SUM(J826:J828)</f>
        <v>250000</v>
      </c>
    </row>
    <row r="831" spans="1:12" x14ac:dyDescent="0.25">
      <c r="A831" s="1" t="s">
        <v>0</v>
      </c>
      <c r="B831" s="1" t="s">
        <v>1</v>
      </c>
      <c r="C831" s="1" t="s">
        <v>2</v>
      </c>
      <c r="D831" s="1" t="s">
        <v>3</v>
      </c>
      <c r="E831" s="1" t="s">
        <v>4</v>
      </c>
      <c r="F831" s="2" t="s">
        <v>5</v>
      </c>
      <c r="G831" s="3" t="s">
        <v>6</v>
      </c>
      <c r="H831" s="3" t="s">
        <v>7</v>
      </c>
      <c r="I831" s="4" t="s">
        <v>8</v>
      </c>
      <c r="J831" s="2" t="s">
        <v>9</v>
      </c>
      <c r="K831" s="3" t="s">
        <v>10</v>
      </c>
      <c r="L831" s="2" t="s">
        <v>9</v>
      </c>
    </row>
    <row r="832" spans="1:12" x14ac:dyDescent="0.25">
      <c r="A832" s="5">
        <v>45933</v>
      </c>
      <c r="B832" t="s">
        <v>31</v>
      </c>
      <c r="C832" t="s">
        <v>281</v>
      </c>
      <c r="D832" t="s">
        <v>45</v>
      </c>
      <c r="E832">
        <v>2014</v>
      </c>
      <c r="G832" t="s">
        <v>282</v>
      </c>
      <c r="I832" t="s">
        <v>457</v>
      </c>
      <c r="J832" s="6">
        <v>250000</v>
      </c>
    </row>
    <row r="833" spans="1:12" x14ac:dyDescent="0.25">
      <c r="I833" t="s">
        <v>458</v>
      </c>
      <c r="J833" s="6">
        <v>120000</v>
      </c>
    </row>
    <row r="834" spans="1:12" x14ac:dyDescent="0.25">
      <c r="I834" t="s">
        <v>459</v>
      </c>
      <c r="J834" s="6">
        <v>50000</v>
      </c>
    </row>
    <row r="836" spans="1:12" x14ac:dyDescent="0.25">
      <c r="I836" t="s">
        <v>22</v>
      </c>
      <c r="J836" s="6">
        <f>SUM(J832:J835)</f>
        <v>420000</v>
      </c>
    </row>
    <row r="838" spans="1:12" x14ac:dyDescent="0.25">
      <c r="A838" s="1" t="s">
        <v>0</v>
      </c>
      <c r="B838" s="1" t="s">
        <v>1</v>
      </c>
      <c r="C838" s="1" t="s">
        <v>2</v>
      </c>
      <c r="D838" s="1" t="s">
        <v>3</v>
      </c>
      <c r="E838" s="1" t="s">
        <v>4</v>
      </c>
      <c r="F838" s="2" t="s">
        <v>5</v>
      </c>
      <c r="G838" s="3" t="s">
        <v>6</v>
      </c>
      <c r="H838" s="3" t="s">
        <v>7</v>
      </c>
      <c r="I838" s="4" t="s">
        <v>8</v>
      </c>
      <c r="J838" s="2" t="s">
        <v>9</v>
      </c>
      <c r="K838" s="3" t="s">
        <v>10</v>
      </c>
      <c r="L838" s="2" t="s">
        <v>9</v>
      </c>
    </row>
    <row r="839" spans="1:12" x14ac:dyDescent="0.25">
      <c r="A839" s="5">
        <v>45933</v>
      </c>
      <c r="B839" t="s">
        <v>31</v>
      </c>
      <c r="C839" t="s">
        <v>460</v>
      </c>
      <c r="D839" t="s">
        <v>12</v>
      </c>
      <c r="F839" s="6">
        <v>155341</v>
      </c>
      <c r="G839" t="s">
        <v>461</v>
      </c>
      <c r="I839" t="s">
        <v>462</v>
      </c>
      <c r="J839" s="6">
        <v>340000</v>
      </c>
    </row>
    <row r="840" spans="1:12" x14ac:dyDescent="0.25">
      <c r="I840" t="s">
        <v>463</v>
      </c>
      <c r="J840" s="6">
        <v>40000</v>
      </c>
    </row>
    <row r="841" spans="1:12" x14ac:dyDescent="0.25">
      <c r="I841" t="s">
        <v>464</v>
      </c>
      <c r="J841" s="6">
        <v>350000</v>
      </c>
    </row>
    <row r="842" spans="1:12" x14ac:dyDescent="0.25">
      <c r="I842" t="s">
        <v>61</v>
      </c>
      <c r="J842" s="6">
        <v>80000</v>
      </c>
    </row>
    <row r="843" spans="1:12" x14ac:dyDescent="0.25">
      <c r="I843" t="s">
        <v>465</v>
      </c>
      <c r="J843" s="6">
        <v>35000</v>
      </c>
    </row>
    <row r="844" spans="1:12" x14ac:dyDescent="0.25">
      <c r="I844" t="s">
        <v>466</v>
      </c>
      <c r="J844" s="6">
        <v>50000</v>
      </c>
    </row>
    <row r="845" spans="1:12" x14ac:dyDescent="0.25">
      <c r="I845" t="s">
        <v>264</v>
      </c>
      <c r="J845" s="6">
        <v>40000</v>
      </c>
    </row>
    <row r="846" spans="1:12" x14ac:dyDescent="0.25">
      <c r="I846" t="s">
        <v>467</v>
      </c>
    </row>
    <row r="848" spans="1:12" x14ac:dyDescent="0.25">
      <c r="I848" t="s">
        <v>22</v>
      </c>
      <c r="J848" s="6">
        <f>SUM(J839:J847)</f>
        <v>935000</v>
      </c>
    </row>
    <row r="850" spans="1:12" x14ac:dyDescent="0.25">
      <c r="A850" s="1" t="s">
        <v>0</v>
      </c>
      <c r="B850" s="1" t="s">
        <v>1</v>
      </c>
      <c r="C850" s="1" t="s">
        <v>2</v>
      </c>
      <c r="D850" s="1" t="s">
        <v>3</v>
      </c>
      <c r="E850" s="1" t="s">
        <v>4</v>
      </c>
      <c r="F850" s="2" t="s">
        <v>5</v>
      </c>
      <c r="G850" s="3" t="s">
        <v>6</v>
      </c>
      <c r="H850" s="3" t="s">
        <v>7</v>
      </c>
      <c r="I850" s="4" t="s">
        <v>8</v>
      </c>
      <c r="J850" s="2" t="s">
        <v>9</v>
      </c>
      <c r="K850" s="3" t="s">
        <v>10</v>
      </c>
      <c r="L850" s="2" t="s">
        <v>9</v>
      </c>
    </row>
    <row r="851" spans="1:12" x14ac:dyDescent="0.25">
      <c r="A851" s="5">
        <v>45933</v>
      </c>
      <c r="B851" t="s">
        <v>31</v>
      </c>
      <c r="C851" t="s">
        <v>468</v>
      </c>
      <c r="D851" t="s">
        <v>25</v>
      </c>
      <c r="F851" s="6">
        <v>154053</v>
      </c>
      <c r="G851" t="s">
        <v>496</v>
      </c>
      <c r="H851">
        <v>3214792626</v>
      </c>
      <c r="I851" t="s">
        <v>469</v>
      </c>
      <c r="J851" s="6">
        <v>840000</v>
      </c>
    </row>
    <row r="852" spans="1:12" x14ac:dyDescent="0.25">
      <c r="I852" t="s">
        <v>374</v>
      </c>
      <c r="J852" s="6">
        <v>180000</v>
      </c>
    </row>
    <row r="853" spans="1:12" x14ac:dyDescent="0.25">
      <c r="I853" t="s">
        <v>146</v>
      </c>
      <c r="J853" s="6">
        <v>45000</v>
      </c>
    </row>
    <row r="854" spans="1:12" x14ac:dyDescent="0.25">
      <c r="I854" t="s">
        <v>470</v>
      </c>
      <c r="J854" s="6">
        <v>370000</v>
      </c>
    </row>
    <row r="855" spans="1:12" x14ac:dyDescent="0.25">
      <c r="I855" t="s">
        <v>471</v>
      </c>
      <c r="J855" s="6">
        <v>60000</v>
      </c>
    </row>
    <row r="856" spans="1:12" x14ac:dyDescent="0.25">
      <c r="I856" t="s">
        <v>180</v>
      </c>
      <c r="J856" s="6">
        <v>250000</v>
      </c>
    </row>
    <row r="857" spans="1:12" x14ac:dyDescent="0.25">
      <c r="I857" t="s">
        <v>420</v>
      </c>
      <c r="J857" s="6">
        <v>40000</v>
      </c>
    </row>
    <row r="858" spans="1:12" x14ac:dyDescent="0.25">
      <c r="I858" t="s">
        <v>21</v>
      </c>
      <c r="J858" s="6">
        <v>25000</v>
      </c>
    </row>
    <row r="859" spans="1:12" x14ac:dyDescent="0.25">
      <c r="I859" t="s">
        <v>123</v>
      </c>
      <c r="J859" s="6">
        <v>150000</v>
      </c>
    </row>
    <row r="860" spans="1:12" x14ac:dyDescent="0.25">
      <c r="I860" t="s">
        <v>188</v>
      </c>
      <c r="J860" s="6">
        <v>420000</v>
      </c>
    </row>
    <row r="861" spans="1:12" x14ac:dyDescent="0.25">
      <c r="I861" t="s">
        <v>70</v>
      </c>
      <c r="J861" s="6">
        <v>390000</v>
      </c>
    </row>
    <row r="862" spans="1:12" x14ac:dyDescent="0.25">
      <c r="I862" t="s">
        <v>474</v>
      </c>
      <c r="J862" s="6">
        <v>105000</v>
      </c>
    </row>
    <row r="863" spans="1:12" x14ac:dyDescent="0.25">
      <c r="I863" t="s">
        <v>475</v>
      </c>
      <c r="J863" s="6">
        <v>350000</v>
      </c>
    </row>
    <row r="864" spans="1:12" x14ac:dyDescent="0.25">
      <c r="I864" t="s">
        <v>472</v>
      </c>
      <c r="J864" s="6">
        <v>45000</v>
      </c>
    </row>
    <row r="865" spans="1:12" x14ac:dyDescent="0.25">
      <c r="I865" t="s">
        <v>473</v>
      </c>
      <c r="J865" s="6">
        <v>62000</v>
      </c>
      <c r="K865" t="s">
        <v>476</v>
      </c>
    </row>
    <row r="867" spans="1:12" x14ac:dyDescent="0.25">
      <c r="I867" t="s">
        <v>22</v>
      </c>
      <c r="J867" s="6">
        <f>SUM(J851:J866)</f>
        <v>3332000</v>
      </c>
    </row>
    <row r="869" spans="1:12" x14ac:dyDescent="0.25">
      <c r="A869" s="1" t="s">
        <v>0</v>
      </c>
      <c r="B869" s="1" t="s">
        <v>1</v>
      </c>
      <c r="C869" s="1" t="s">
        <v>2</v>
      </c>
      <c r="D869" s="1" t="s">
        <v>3</v>
      </c>
      <c r="E869" s="1" t="s">
        <v>4</v>
      </c>
      <c r="F869" s="2" t="s">
        <v>5</v>
      </c>
      <c r="G869" s="3" t="s">
        <v>6</v>
      </c>
      <c r="H869" s="3" t="s">
        <v>7</v>
      </c>
      <c r="I869" s="4" t="s">
        <v>8</v>
      </c>
      <c r="J869" s="2" t="s">
        <v>9</v>
      </c>
      <c r="K869" s="3" t="s">
        <v>10</v>
      </c>
      <c r="L869" s="2" t="s">
        <v>9</v>
      </c>
    </row>
    <row r="870" spans="1:12" x14ac:dyDescent="0.25">
      <c r="A870" s="5">
        <v>45933</v>
      </c>
      <c r="B870" t="s">
        <v>31</v>
      </c>
      <c r="C870" t="s">
        <v>497</v>
      </c>
      <c r="D870" t="s">
        <v>498</v>
      </c>
      <c r="F870" s="6">
        <v>48499</v>
      </c>
      <c r="G870" t="s">
        <v>499</v>
      </c>
      <c r="I870" t="s">
        <v>500</v>
      </c>
      <c r="J870" s="6">
        <v>60000</v>
      </c>
    </row>
    <row r="871" spans="1:12" x14ac:dyDescent="0.25">
      <c r="I871" t="s">
        <v>501</v>
      </c>
      <c r="J871" s="6">
        <v>30000</v>
      </c>
    </row>
    <row r="872" spans="1:12" x14ac:dyDescent="0.25">
      <c r="I872" t="s">
        <v>502</v>
      </c>
      <c r="J872" s="6">
        <v>30000</v>
      </c>
    </row>
    <row r="873" spans="1:12" x14ac:dyDescent="0.25">
      <c r="I873" t="s">
        <v>346</v>
      </c>
      <c r="J873" s="6">
        <v>10000</v>
      </c>
    </row>
    <row r="874" spans="1:12" x14ac:dyDescent="0.25">
      <c r="I874" t="s">
        <v>503</v>
      </c>
      <c r="J874" s="6">
        <v>80000</v>
      </c>
    </row>
    <row r="875" spans="1:12" x14ac:dyDescent="0.25">
      <c r="I875" t="s">
        <v>504</v>
      </c>
      <c r="J875" s="6">
        <v>100000</v>
      </c>
    </row>
    <row r="876" spans="1:12" x14ac:dyDescent="0.25">
      <c r="I876" t="s">
        <v>505</v>
      </c>
      <c r="J876" s="6">
        <v>30000</v>
      </c>
    </row>
    <row r="877" spans="1:12" x14ac:dyDescent="0.25">
      <c r="I877" t="s">
        <v>34</v>
      </c>
      <c r="J877" s="6">
        <v>248000</v>
      </c>
    </row>
    <row r="878" spans="1:12" x14ac:dyDescent="0.25">
      <c r="I878" t="s">
        <v>19</v>
      </c>
      <c r="J878" s="6">
        <v>46000</v>
      </c>
    </row>
    <row r="880" spans="1:12" x14ac:dyDescent="0.25">
      <c r="I880" t="s">
        <v>22</v>
      </c>
      <c r="J880" s="6">
        <f>SUM(J870:J879)</f>
        <v>634000</v>
      </c>
    </row>
    <row r="882" spans="1:12" x14ac:dyDescent="0.25">
      <c r="A882" s="1" t="s">
        <v>0</v>
      </c>
      <c r="B882" s="1" t="s">
        <v>1</v>
      </c>
      <c r="C882" s="1" t="s">
        <v>2</v>
      </c>
      <c r="D882" s="1" t="s">
        <v>3</v>
      </c>
      <c r="E882" s="1" t="s">
        <v>4</v>
      </c>
      <c r="F882" s="2" t="s">
        <v>5</v>
      </c>
      <c r="G882" s="3" t="s">
        <v>6</v>
      </c>
      <c r="H882" s="3" t="s">
        <v>7</v>
      </c>
      <c r="I882" s="4" t="s">
        <v>8</v>
      </c>
      <c r="J882" s="2" t="s">
        <v>9</v>
      </c>
      <c r="K882" s="3" t="s">
        <v>10</v>
      </c>
      <c r="L882" s="2" t="s">
        <v>9</v>
      </c>
    </row>
    <row r="883" spans="1:12" x14ac:dyDescent="0.25">
      <c r="A883" s="5">
        <v>45933</v>
      </c>
      <c r="B883" t="s">
        <v>31</v>
      </c>
      <c r="C883" t="s">
        <v>512</v>
      </c>
      <c r="D883" t="s">
        <v>45</v>
      </c>
      <c r="E883">
        <v>2016</v>
      </c>
      <c r="F883" s="6">
        <v>30906</v>
      </c>
      <c r="G883" t="s">
        <v>513</v>
      </c>
      <c r="I883" t="s">
        <v>514</v>
      </c>
    </row>
    <row r="884" spans="1:12" x14ac:dyDescent="0.25">
      <c r="I884" t="s">
        <v>515</v>
      </c>
    </row>
    <row r="886" spans="1:12" x14ac:dyDescent="0.25">
      <c r="I886" t="s">
        <v>22</v>
      </c>
    </row>
    <row r="888" spans="1:12" x14ac:dyDescent="0.25">
      <c r="A888" s="1" t="s">
        <v>0</v>
      </c>
      <c r="B888" s="1" t="s">
        <v>1</v>
      </c>
      <c r="C888" s="1" t="s">
        <v>2</v>
      </c>
      <c r="D888" s="1" t="s">
        <v>3</v>
      </c>
      <c r="E888" s="1" t="s">
        <v>4</v>
      </c>
      <c r="F888" s="2" t="s">
        <v>5</v>
      </c>
      <c r="G888" s="3" t="s">
        <v>6</v>
      </c>
      <c r="H888" s="3" t="s">
        <v>7</v>
      </c>
      <c r="I888" s="4" t="s">
        <v>8</v>
      </c>
      <c r="J888" s="2" t="s">
        <v>9</v>
      </c>
      <c r="K888" s="3" t="s">
        <v>10</v>
      </c>
      <c r="L888" s="2" t="s">
        <v>9</v>
      </c>
    </row>
    <row r="889" spans="1:12" x14ac:dyDescent="0.25">
      <c r="A889" s="5">
        <v>45934</v>
      </c>
      <c r="B889" t="s">
        <v>477</v>
      </c>
      <c r="C889" t="s">
        <v>478</v>
      </c>
      <c r="D889" t="s">
        <v>12</v>
      </c>
      <c r="F889" s="6">
        <v>75279</v>
      </c>
      <c r="I889" t="s">
        <v>479</v>
      </c>
      <c r="J889" s="6">
        <v>290000</v>
      </c>
    </row>
    <row r="890" spans="1:12" x14ac:dyDescent="0.25">
      <c r="I890" t="s">
        <v>61</v>
      </c>
      <c r="J890" s="6">
        <v>30000</v>
      </c>
    </row>
    <row r="891" spans="1:12" x14ac:dyDescent="0.25">
      <c r="I891" t="s">
        <v>480</v>
      </c>
      <c r="J891" s="6">
        <v>10000</v>
      </c>
    </row>
    <row r="892" spans="1:12" x14ac:dyDescent="0.25">
      <c r="I892" t="s">
        <v>163</v>
      </c>
      <c r="J892" s="6">
        <v>10000</v>
      </c>
    </row>
    <row r="894" spans="1:12" x14ac:dyDescent="0.25">
      <c r="I894" t="s">
        <v>22</v>
      </c>
      <c r="J894" s="6">
        <f>SUM(J889:J893)</f>
        <v>340000</v>
      </c>
    </row>
    <row r="896" spans="1:12" x14ac:dyDescent="0.25">
      <c r="A896" s="1" t="s">
        <v>0</v>
      </c>
      <c r="B896" s="1" t="s">
        <v>1</v>
      </c>
      <c r="C896" s="1" t="s">
        <v>2</v>
      </c>
      <c r="D896" s="1" t="s">
        <v>3</v>
      </c>
      <c r="E896" s="1" t="s">
        <v>4</v>
      </c>
      <c r="F896" s="2" t="s">
        <v>5</v>
      </c>
      <c r="G896" s="3" t="s">
        <v>6</v>
      </c>
      <c r="H896" s="3" t="s">
        <v>7</v>
      </c>
      <c r="I896" s="4" t="s">
        <v>8</v>
      </c>
      <c r="J896" s="2" t="s">
        <v>9</v>
      </c>
      <c r="K896" s="3" t="s">
        <v>10</v>
      </c>
      <c r="L896" s="2" t="s">
        <v>9</v>
      </c>
    </row>
    <row r="897" spans="1:12" x14ac:dyDescent="0.25">
      <c r="A897" s="5">
        <v>45934</v>
      </c>
      <c r="B897" t="s">
        <v>31</v>
      </c>
      <c r="C897" t="s">
        <v>481</v>
      </c>
      <c r="D897" t="s">
        <v>45</v>
      </c>
      <c r="F897" s="6">
        <v>86177</v>
      </c>
      <c r="G897" t="s">
        <v>482</v>
      </c>
      <c r="I897" t="s">
        <v>483</v>
      </c>
      <c r="J897" s="6">
        <v>150000</v>
      </c>
    </row>
    <row r="898" spans="1:12" x14ac:dyDescent="0.25">
      <c r="A898" s="5"/>
      <c r="I898" t="s">
        <v>70</v>
      </c>
      <c r="J898" s="6">
        <v>390000</v>
      </c>
    </row>
    <row r="899" spans="1:12" x14ac:dyDescent="0.25">
      <c r="A899" s="5"/>
      <c r="I899" t="s">
        <v>21</v>
      </c>
      <c r="J899" s="6">
        <v>25000</v>
      </c>
    </row>
    <row r="900" spans="1:12" x14ac:dyDescent="0.25">
      <c r="A900" s="5"/>
      <c r="I900" t="s">
        <v>459</v>
      </c>
      <c r="J900" s="6">
        <v>60000</v>
      </c>
    </row>
    <row r="901" spans="1:12" x14ac:dyDescent="0.25">
      <c r="A901" s="5"/>
      <c r="I901" t="s">
        <v>484</v>
      </c>
      <c r="J901" s="6">
        <v>60000</v>
      </c>
    </row>
    <row r="902" spans="1:12" x14ac:dyDescent="0.25">
      <c r="A902" s="5"/>
      <c r="I902" t="s">
        <v>34</v>
      </c>
    </row>
    <row r="903" spans="1:12" x14ac:dyDescent="0.25">
      <c r="A903" s="5"/>
      <c r="I903" t="s">
        <v>485</v>
      </c>
      <c r="J903" s="6">
        <v>20000</v>
      </c>
    </row>
    <row r="905" spans="1:12" x14ac:dyDescent="0.25">
      <c r="I905" t="s">
        <v>22</v>
      </c>
      <c r="J905" s="6">
        <f>SUM(J897:J904)</f>
        <v>705000</v>
      </c>
    </row>
    <row r="907" spans="1:12" x14ac:dyDescent="0.25">
      <c r="A907" s="1" t="s">
        <v>0</v>
      </c>
      <c r="B907" s="1" t="s">
        <v>1</v>
      </c>
      <c r="C907" s="1" t="s">
        <v>2</v>
      </c>
      <c r="D907" s="1" t="s">
        <v>3</v>
      </c>
      <c r="E907" s="1" t="s">
        <v>4</v>
      </c>
      <c r="F907" s="2" t="s">
        <v>5</v>
      </c>
      <c r="G907" s="3" t="s">
        <v>6</v>
      </c>
      <c r="H907" s="3" t="s">
        <v>7</v>
      </c>
      <c r="I907" s="4" t="s">
        <v>8</v>
      </c>
      <c r="J907" s="2" t="s">
        <v>9</v>
      </c>
      <c r="K907" s="3" t="s">
        <v>10</v>
      </c>
      <c r="L907" s="2" t="s">
        <v>9</v>
      </c>
    </row>
    <row r="908" spans="1:12" x14ac:dyDescent="0.25">
      <c r="A908" s="5">
        <v>45936</v>
      </c>
      <c r="B908" t="s">
        <v>31</v>
      </c>
      <c r="C908" t="s">
        <v>430</v>
      </c>
      <c r="E908">
        <v>2012</v>
      </c>
      <c r="F908" s="6">
        <v>129012</v>
      </c>
      <c r="G908" t="s">
        <v>431</v>
      </c>
      <c r="H908">
        <v>3104518144</v>
      </c>
      <c r="I908" t="s">
        <v>61</v>
      </c>
      <c r="J908" s="6">
        <v>450000</v>
      </c>
    </row>
    <row r="909" spans="1:12" x14ac:dyDescent="0.25">
      <c r="I909" t="s">
        <v>432</v>
      </c>
      <c r="J909" s="6">
        <v>1168000</v>
      </c>
    </row>
    <row r="910" spans="1:12" x14ac:dyDescent="0.25">
      <c r="I910" t="s">
        <v>433</v>
      </c>
      <c r="J910" s="6">
        <v>120000</v>
      </c>
    </row>
    <row r="911" spans="1:12" x14ac:dyDescent="0.25">
      <c r="I911" t="s">
        <v>429</v>
      </c>
      <c r="J911" s="6">
        <v>152000</v>
      </c>
    </row>
    <row r="912" spans="1:12" x14ac:dyDescent="0.25">
      <c r="I912" t="s">
        <v>426</v>
      </c>
      <c r="J912" s="6">
        <v>250000</v>
      </c>
    </row>
    <row r="913" spans="1:12" x14ac:dyDescent="0.25">
      <c r="I913" t="s">
        <v>434</v>
      </c>
      <c r="J913" s="6">
        <v>185000</v>
      </c>
    </row>
    <row r="914" spans="1:12" x14ac:dyDescent="0.25">
      <c r="I914" t="s">
        <v>435</v>
      </c>
      <c r="J914" s="6">
        <v>160000</v>
      </c>
    </row>
    <row r="915" spans="1:12" x14ac:dyDescent="0.25">
      <c r="I915" t="s">
        <v>16</v>
      </c>
      <c r="J915" s="6">
        <v>40000</v>
      </c>
    </row>
    <row r="916" spans="1:12" x14ac:dyDescent="0.25">
      <c r="I916" t="s">
        <v>123</v>
      </c>
      <c r="J916" s="6">
        <v>150000</v>
      </c>
    </row>
    <row r="917" spans="1:12" x14ac:dyDescent="0.25">
      <c r="I917" t="s">
        <v>21</v>
      </c>
      <c r="J917" s="6">
        <v>25000</v>
      </c>
    </row>
    <row r="919" spans="1:12" x14ac:dyDescent="0.25">
      <c r="I919" t="s">
        <v>22</v>
      </c>
      <c r="J919" s="6">
        <f>SUM(J908:J918)</f>
        <v>2700000</v>
      </c>
    </row>
    <row r="921" spans="1:12" x14ac:dyDescent="0.25">
      <c r="A921" s="1" t="s">
        <v>0</v>
      </c>
      <c r="B921" s="1" t="s">
        <v>1</v>
      </c>
      <c r="C921" s="1" t="s">
        <v>2</v>
      </c>
      <c r="D921" s="1" t="s">
        <v>3</v>
      </c>
      <c r="E921" s="1" t="s">
        <v>4</v>
      </c>
      <c r="F921" s="2" t="s">
        <v>5</v>
      </c>
      <c r="G921" s="3" t="s">
        <v>6</v>
      </c>
      <c r="H921" s="3" t="s">
        <v>7</v>
      </c>
      <c r="I921" s="4" t="s">
        <v>8</v>
      </c>
      <c r="J921" s="2" t="s">
        <v>9</v>
      </c>
      <c r="K921" s="3" t="s">
        <v>10</v>
      </c>
      <c r="L921" s="2" t="s">
        <v>9</v>
      </c>
    </row>
    <row r="922" spans="1:12" x14ac:dyDescent="0.25">
      <c r="A922" s="5">
        <v>45937</v>
      </c>
      <c r="B922" t="s">
        <v>31</v>
      </c>
      <c r="C922" t="s">
        <v>367</v>
      </c>
      <c r="D922" t="s">
        <v>45</v>
      </c>
      <c r="E922">
        <v>2011</v>
      </c>
      <c r="F922" s="6">
        <v>83905</v>
      </c>
      <c r="G922" t="s">
        <v>368</v>
      </c>
      <c r="I922" t="s">
        <v>486</v>
      </c>
      <c r="J922" s="6">
        <v>40000</v>
      </c>
    </row>
    <row r="923" spans="1:12" x14ac:dyDescent="0.25">
      <c r="I923" t="s">
        <v>61</v>
      </c>
      <c r="J923" s="6">
        <v>80000</v>
      </c>
    </row>
    <row r="924" spans="1:12" x14ac:dyDescent="0.25">
      <c r="I924" t="s">
        <v>340</v>
      </c>
      <c r="J924" s="6">
        <v>800000</v>
      </c>
    </row>
    <row r="926" spans="1:12" x14ac:dyDescent="0.25">
      <c r="I926" t="s">
        <v>22</v>
      </c>
      <c r="J926" s="6">
        <f>SUM(J922:J925)</f>
        <v>920000</v>
      </c>
    </row>
    <row r="928" spans="1:12" x14ac:dyDescent="0.25">
      <c r="A928" s="1" t="s">
        <v>0</v>
      </c>
      <c r="B928" s="1" t="s">
        <v>1</v>
      </c>
      <c r="C928" s="1" t="s">
        <v>2</v>
      </c>
      <c r="D928" s="1" t="s">
        <v>3</v>
      </c>
      <c r="E928" s="1" t="s">
        <v>4</v>
      </c>
      <c r="F928" s="2" t="s">
        <v>5</v>
      </c>
      <c r="G928" s="3" t="s">
        <v>6</v>
      </c>
      <c r="H928" s="3" t="s">
        <v>7</v>
      </c>
      <c r="I928" s="4" t="s">
        <v>8</v>
      </c>
      <c r="J928" s="2" t="s">
        <v>9</v>
      </c>
      <c r="K928" s="3" t="s">
        <v>10</v>
      </c>
      <c r="L928" s="2" t="s">
        <v>9</v>
      </c>
    </row>
    <row r="929" spans="1:12" x14ac:dyDescent="0.25">
      <c r="A929" s="5">
        <v>45937</v>
      </c>
      <c r="B929" t="s">
        <v>48</v>
      </c>
      <c r="C929" t="s">
        <v>487</v>
      </c>
      <c r="D929" t="s">
        <v>25</v>
      </c>
      <c r="F929" s="6">
        <v>62934</v>
      </c>
      <c r="G929" t="s">
        <v>768</v>
      </c>
      <c r="H929">
        <v>3183900614</v>
      </c>
      <c r="I929" t="s">
        <v>488</v>
      </c>
      <c r="J929" s="6">
        <v>70000</v>
      </c>
    </row>
    <row r="930" spans="1:12" x14ac:dyDescent="0.25">
      <c r="I930" t="s">
        <v>489</v>
      </c>
      <c r="J930" s="6">
        <v>150000</v>
      </c>
    </row>
    <row r="931" spans="1:12" x14ac:dyDescent="0.25">
      <c r="I931" t="s">
        <v>194</v>
      </c>
      <c r="J931" s="6">
        <v>10000</v>
      </c>
    </row>
    <row r="932" spans="1:12" x14ac:dyDescent="0.25">
      <c r="I932" t="s">
        <v>34</v>
      </c>
      <c r="J932" s="6">
        <v>174000</v>
      </c>
    </row>
    <row r="933" spans="1:12" x14ac:dyDescent="0.25">
      <c r="I933" t="s">
        <v>19</v>
      </c>
      <c r="J933" s="6">
        <v>46000</v>
      </c>
    </row>
    <row r="934" spans="1:12" x14ac:dyDescent="0.25">
      <c r="I934" t="s">
        <v>236</v>
      </c>
      <c r="J934" s="6">
        <v>30000</v>
      </c>
    </row>
    <row r="936" spans="1:12" x14ac:dyDescent="0.25">
      <c r="I936" t="s">
        <v>22</v>
      </c>
      <c r="J936" s="6">
        <f>SUM(J929:J935)</f>
        <v>480000</v>
      </c>
    </row>
    <row r="938" spans="1:12" x14ac:dyDescent="0.25">
      <c r="A938" s="1" t="s">
        <v>0</v>
      </c>
      <c r="B938" s="1" t="s">
        <v>1</v>
      </c>
      <c r="C938" s="1" t="s">
        <v>2</v>
      </c>
      <c r="D938" s="1" t="s">
        <v>3</v>
      </c>
      <c r="E938" s="1" t="s">
        <v>4</v>
      </c>
      <c r="F938" s="2" t="s">
        <v>5</v>
      </c>
      <c r="G938" s="3" t="s">
        <v>6</v>
      </c>
      <c r="H938" s="3" t="s">
        <v>7</v>
      </c>
      <c r="I938" s="4" t="s">
        <v>8</v>
      </c>
      <c r="J938" s="2" t="s">
        <v>9</v>
      </c>
      <c r="K938" s="3" t="s">
        <v>10</v>
      </c>
      <c r="L938" s="2" t="s">
        <v>9</v>
      </c>
    </row>
    <row r="939" spans="1:12" x14ac:dyDescent="0.25">
      <c r="A939" s="5">
        <v>45937</v>
      </c>
      <c r="B939" t="s">
        <v>31</v>
      </c>
      <c r="C939" t="s">
        <v>490</v>
      </c>
      <c r="D939" t="s">
        <v>45</v>
      </c>
      <c r="F939" s="6">
        <v>45492</v>
      </c>
      <c r="I939" t="s">
        <v>491</v>
      </c>
      <c r="J939" s="6">
        <v>40000</v>
      </c>
    </row>
    <row r="940" spans="1:12" x14ac:dyDescent="0.25">
      <c r="I940" t="s">
        <v>492</v>
      </c>
      <c r="J940" s="6">
        <v>66000</v>
      </c>
    </row>
    <row r="941" spans="1:12" x14ac:dyDescent="0.25">
      <c r="I941" t="s">
        <v>37</v>
      </c>
      <c r="J941" s="6">
        <v>40000</v>
      </c>
    </row>
    <row r="942" spans="1:12" x14ac:dyDescent="0.25">
      <c r="I942" t="s">
        <v>35</v>
      </c>
      <c r="J942" s="6">
        <v>150000</v>
      </c>
    </row>
    <row r="943" spans="1:12" x14ac:dyDescent="0.25">
      <c r="I943" t="s">
        <v>493</v>
      </c>
      <c r="J943" s="6">
        <v>30000</v>
      </c>
    </row>
    <row r="944" spans="1:12" x14ac:dyDescent="0.25">
      <c r="I944" t="s">
        <v>494</v>
      </c>
      <c r="J944" s="6">
        <v>20000</v>
      </c>
    </row>
    <row r="945" spans="1:12" x14ac:dyDescent="0.25">
      <c r="I945" t="s">
        <v>495</v>
      </c>
      <c r="J945" s="6">
        <v>30000</v>
      </c>
    </row>
    <row r="947" spans="1:12" x14ac:dyDescent="0.25">
      <c r="I947" t="s">
        <v>22</v>
      </c>
      <c r="J947" s="6">
        <f>SUM(J939:J946)</f>
        <v>376000</v>
      </c>
    </row>
    <row r="949" spans="1:12" x14ac:dyDescent="0.25">
      <c r="A949" s="1" t="s">
        <v>0</v>
      </c>
      <c r="B949" s="1" t="s">
        <v>1</v>
      </c>
      <c r="C949" s="1" t="s">
        <v>2</v>
      </c>
      <c r="D949" s="1" t="s">
        <v>3</v>
      </c>
      <c r="E949" s="1" t="s">
        <v>4</v>
      </c>
      <c r="F949" s="2" t="s">
        <v>5</v>
      </c>
      <c r="G949" s="3" t="s">
        <v>6</v>
      </c>
      <c r="H949" s="3" t="s">
        <v>7</v>
      </c>
      <c r="I949" s="4" t="s">
        <v>8</v>
      </c>
      <c r="J949" s="2" t="s">
        <v>9</v>
      </c>
      <c r="K949" s="3" t="s">
        <v>10</v>
      </c>
      <c r="L949" s="2" t="s">
        <v>9</v>
      </c>
    </row>
    <row r="950" spans="1:12" x14ac:dyDescent="0.25">
      <c r="A950" s="5">
        <v>45937</v>
      </c>
      <c r="B950" t="s">
        <v>506</v>
      </c>
      <c r="C950" t="s">
        <v>507</v>
      </c>
      <c r="D950" t="s">
        <v>25</v>
      </c>
      <c r="G950" t="s">
        <v>508</v>
      </c>
      <c r="H950">
        <v>3142955982</v>
      </c>
      <c r="I950" t="s">
        <v>34</v>
      </c>
    </row>
    <row r="951" spans="1:12" x14ac:dyDescent="0.25">
      <c r="I951" t="s">
        <v>509</v>
      </c>
    </row>
    <row r="952" spans="1:12" x14ac:dyDescent="0.25">
      <c r="I952" t="s">
        <v>510</v>
      </c>
    </row>
    <row r="953" spans="1:12" x14ac:dyDescent="0.25">
      <c r="I953" t="s">
        <v>511</v>
      </c>
    </row>
    <row r="955" spans="1:12" x14ac:dyDescent="0.25">
      <c r="I955" t="s">
        <v>22</v>
      </c>
      <c r="J955" s="6">
        <v>250000</v>
      </c>
    </row>
    <row r="957" spans="1:12" x14ac:dyDescent="0.25">
      <c r="A957" s="1" t="s">
        <v>0</v>
      </c>
      <c r="B957" s="1" t="s">
        <v>1</v>
      </c>
      <c r="C957" s="1" t="s">
        <v>2</v>
      </c>
      <c r="D957" s="1" t="s">
        <v>3</v>
      </c>
      <c r="E957" s="1" t="s">
        <v>4</v>
      </c>
      <c r="F957" s="2" t="s">
        <v>5</v>
      </c>
      <c r="G957" s="3" t="s">
        <v>6</v>
      </c>
      <c r="H957" s="3" t="s">
        <v>7</v>
      </c>
      <c r="I957" s="4" t="s">
        <v>8</v>
      </c>
      <c r="J957" s="2" t="s">
        <v>9</v>
      </c>
      <c r="K957" s="3" t="s">
        <v>10</v>
      </c>
      <c r="L957" s="2" t="s">
        <v>9</v>
      </c>
    </row>
    <row r="958" spans="1:12" x14ac:dyDescent="0.25">
      <c r="A958" s="5">
        <v>45938</v>
      </c>
      <c r="B958" t="s">
        <v>769</v>
      </c>
      <c r="C958" t="s">
        <v>770</v>
      </c>
      <c r="D958" t="s">
        <v>138</v>
      </c>
      <c r="G958" t="s">
        <v>771</v>
      </c>
      <c r="H958">
        <v>3143655833</v>
      </c>
      <c r="I958" t="s">
        <v>772</v>
      </c>
    </row>
    <row r="959" spans="1:12" x14ac:dyDescent="0.25">
      <c r="I959" t="s">
        <v>773</v>
      </c>
    </row>
    <row r="961" spans="1:12" x14ac:dyDescent="0.25">
      <c r="I961" t="s">
        <v>22</v>
      </c>
    </row>
    <row r="963" spans="1:12" x14ac:dyDescent="0.25">
      <c r="A963" s="1" t="s">
        <v>0</v>
      </c>
      <c r="B963" s="1" t="s">
        <v>1</v>
      </c>
      <c r="C963" s="1" t="s">
        <v>2</v>
      </c>
      <c r="D963" s="1" t="s">
        <v>3</v>
      </c>
      <c r="E963" s="1" t="s">
        <v>4</v>
      </c>
      <c r="F963" s="2" t="s">
        <v>5</v>
      </c>
      <c r="G963" s="3" t="s">
        <v>6</v>
      </c>
      <c r="H963" s="3" t="s">
        <v>7</v>
      </c>
      <c r="I963" s="4" t="s">
        <v>8</v>
      </c>
      <c r="J963" s="2" t="s">
        <v>9</v>
      </c>
      <c r="K963" s="3" t="s">
        <v>10</v>
      </c>
      <c r="L963" s="2" t="s">
        <v>9</v>
      </c>
    </row>
    <row r="964" spans="1:12" x14ac:dyDescent="0.25">
      <c r="A964" s="5">
        <v>45939</v>
      </c>
      <c r="B964" t="s">
        <v>31</v>
      </c>
      <c r="C964" t="s">
        <v>520</v>
      </c>
      <c r="D964" t="s">
        <v>12</v>
      </c>
      <c r="G964" t="s">
        <v>521</v>
      </c>
      <c r="H964">
        <v>3142161171</v>
      </c>
      <c r="I964" t="s">
        <v>34</v>
      </c>
      <c r="J964" s="6">
        <v>200000</v>
      </c>
    </row>
    <row r="965" spans="1:12" x14ac:dyDescent="0.25">
      <c r="I965" t="s">
        <v>19</v>
      </c>
      <c r="J965" s="6">
        <v>46000</v>
      </c>
    </row>
    <row r="966" spans="1:12" x14ac:dyDescent="0.25">
      <c r="I966" t="s">
        <v>522</v>
      </c>
      <c r="J966" s="6">
        <v>380000</v>
      </c>
    </row>
    <row r="967" spans="1:12" x14ac:dyDescent="0.25">
      <c r="I967" t="s">
        <v>107</v>
      </c>
      <c r="J967" s="6">
        <v>125000</v>
      </c>
    </row>
    <row r="968" spans="1:12" x14ac:dyDescent="0.25">
      <c r="I968" t="s">
        <v>523</v>
      </c>
      <c r="J968" s="6">
        <v>80000</v>
      </c>
    </row>
    <row r="969" spans="1:12" x14ac:dyDescent="0.25">
      <c r="I969" t="s">
        <v>37</v>
      </c>
      <c r="J969" s="6">
        <v>40000</v>
      </c>
    </row>
    <row r="970" spans="1:12" x14ac:dyDescent="0.25">
      <c r="I970" t="s">
        <v>35</v>
      </c>
      <c r="J970" s="6">
        <v>150000</v>
      </c>
    </row>
    <row r="971" spans="1:12" x14ac:dyDescent="0.25">
      <c r="I971" t="s">
        <v>123</v>
      </c>
      <c r="J971" s="6">
        <v>150000</v>
      </c>
    </row>
    <row r="972" spans="1:12" x14ac:dyDescent="0.25">
      <c r="I972" t="s">
        <v>524</v>
      </c>
      <c r="J972" s="6">
        <v>450000</v>
      </c>
    </row>
    <row r="973" spans="1:12" x14ac:dyDescent="0.25">
      <c r="I973" t="s">
        <v>525</v>
      </c>
      <c r="J973" s="6">
        <v>150000</v>
      </c>
    </row>
    <row r="975" spans="1:12" x14ac:dyDescent="0.25">
      <c r="I975" t="s">
        <v>22</v>
      </c>
      <c r="J975" s="6">
        <f>SUM(J964:J974)</f>
        <v>1771000</v>
      </c>
    </row>
    <row r="977" spans="1:12" x14ac:dyDescent="0.25">
      <c r="A977" s="1" t="s">
        <v>0</v>
      </c>
      <c r="B977" s="1" t="s">
        <v>1</v>
      </c>
      <c r="C977" s="1" t="s">
        <v>2</v>
      </c>
      <c r="D977" s="1" t="s">
        <v>3</v>
      </c>
      <c r="E977" s="1" t="s">
        <v>4</v>
      </c>
      <c r="F977" s="2" t="s">
        <v>5</v>
      </c>
      <c r="G977" s="3" t="s">
        <v>6</v>
      </c>
      <c r="H977" s="3" t="s">
        <v>7</v>
      </c>
      <c r="I977" s="4" t="s">
        <v>8</v>
      </c>
      <c r="J977" s="2" t="s">
        <v>9</v>
      </c>
      <c r="K977" s="3" t="s">
        <v>10</v>
      </c>
      <c r="L977" s="2" t="s">
        <v>9</v>
      </c>
    </row>
    <row r="978" spans="1:12" x14ac:dyDescent="0.25">
      <c r="A978" s="5">
        <v>45939</v>
      </c>
      <c r="B978" t="s">
        <v>31</v>
      </c>
      <c r="C978" t="s">
        <v>526</v>
      </c>
      <c r="D978" t="s">
        <v>12</v>
      </c>
      <c r="E978">
        <v>2010</v>
      </c>
      <c r="F978" s="6">
        <v>129056</v>
      </c>
      <c r="G978" t="s">
        <v>527</v>
      </c>
      <c r="I978" t="s">
        <v>528</v>
      </c>
      <c r="J978" s="6">
        <v>300000</v>
      </c>
    </row>
    <row r="979" spans="1:12" x14ac:dyDescent="0.25">
      <c r="I979" t="s">
        <v>182</v>
      </c>
      <c r="J979" s="6">
        <v>249000</v>
      </c>
    </row>
    <row r="980" spans="1:12" x14ac:dyDescent="0.25">
      <c r="I980" t="s">
        <v>429</v>
      </c>
      <c r="J980" s="6">
        <v>152000</v>
      </c>
    </row>
    <row r="981" spans="1:12" x14ac:dyDescent="0.25">
      <c r="I981" t="s">
        <v>426</v>
      </c>
      <c r="J981" s="6">
        <v>250000</v>
      </c>
    </row>
    <row r="982" spans="1:12" x14ac:dyDescent="0.25">
      <c r="I982" t="s">
        <v>334</v>
      </c>
      <c r="J982" s="6">
        <v>850000</v>
      </c>
    </row>
    <row r="983" spans="1:12" x14ac:dyDescent="0.25">
      <c r="I983" t="s">
        <v>529</v>
      </c>
      <c r="J983" s="6">
        <v>200000</v>
      </c>
    </row>
    <row r="984" spans="1:12" x14ac:dyDescent="0.25">
      <c r="I984" t="s">
        <v>123</v>
      </c>
      <c r="J984" s="6">
        <v>150000</v>
      </c>
    </row>
    <row r="985" spans="1:12" x14ac:dyDescent="0.25">
      <c r="I985" t="s">
        <v>100</v>
      </c>
      <c r="J985" s="6">
        <v>15000</v>
      </c>
    </row>
    <row r="986" spans="1:12" x14ac:dyDescent="0.25">
      <c r="I986" t="s">
        <v>16</v>
      </c>
      <c r="J986" s="6">
        <v>40000</v>
      </c>
    </row>
    <row r="987" spans="1:12" x14ac:dyDescent="0.25">
      <c r="I987" t="s">
        <v>224</v>
      </c>
      <c r="J987" s="6">
        <v>160000</v>
      </c>
    </row>
    <row r="989" spans="1:12" x14ac:dyDescent="0.25">
      <c r="I989" t="s">
        <v>22</v>
      </c>
      <c r="J989" s="6">
        <f>SUM(J978:J988)</f>
        <v>2366000</v>
      </c>
    </row>
    <row r="991" spans="1:12" x14ac:dyDescent="0.25">
      <c r="A991" s="1" t="s">
        <v>0</v>
      </c>
      <c r="B991" s="1" t="s">
        <v>1</v>
      </c>
      <c r="C991" s="1" t="s">
        <v>2</v>
      </c>
      <c r="D991" s="1" t="s">
        <v>3</v>
      </c>
      <c r="E991" s="1" t="s">
        <v>4</v>
      </c>
      <c r="F991" s="2" t="s">
        <v>5</v>
      </c>
      <c r="G991" s="3" t="s">
        <v>6</v>
      </c>
      <c r="H991" s="3" t="s">
        <v>7</v>
      </c>
      <c r="I991" s="4" t="s">
        <v>8</v>
      </c>
      <c r="J991" s="2" t="s">
        <v>9</v>
      </c>
      <c r="K991" s="3" t="s">
        <v>10</v>
      </c>
      <c r="L991" s="2" t="s">
        <v>9</v>
      </c>
    </row>
    <row r="992" spans="1:12" x14ac:dyDescent="0.25">
      <c r="A992" s="5">
        <v>45939</v>
      </c>
      <c r="B992" t="s">
        <v>110</v>
      </c>
      <c r="C992" t="s">
        <v>246</v>
      </c>
      <c r="F992" s="6">
        <v>33526</v>
      </c>
      <c r="G992" t="s">
        <v>530</v>
      </c>
      <c r="H992">
        <v>3102685179</v>
      </c>
      <c r="I992" t="s">
        <v>531</v>
      </c>
      <c r="J992" s="6">
        <v>744400</v>
      </c>
    </row>
    <row r="993" spans="1:12" x14ac:dyDescent="0.25">
      <c r="I993" t="s">
        <v>532</v>
      </c>
      <c r="J993" s="6">
        <v>177500</v>
      </c>
    </row>
    <row r="994" spans="1:12" x14ac:dyDescent="0.25">
      <c r="I994" t="s">
        <v>194</v>
      </c>
      <c r="J994" s="6">
        <v>50000</v>
      </c>
    </row>
    <row r="996" spans="1:12" x14ac:dyDescent="0.25">
      <c r="I996" t="s">
        <v>22</v>
      </c>
      <c r="J996" s="6">
        <f>SUM(J992:J995)</f>
        <v>971900</v>
      </c>
    </row>
    <row r="998" spans="1:12" x14ac:dyDescent="0.25">
      <c r="A998" s="1" t="s">
        <v>0</v>
      </c>
      <c r="B998" s="1" t="s">
        <v>1</v>
      </c>
      <c r="C998" s="1" t="s">
        <v>2</v>
      </c>
      <c r="D998" s="1" t="s">
        <v>3</v>
      </c>
      <c r="E998" s="1" t="s">
        <v>4</v>
      </c>
      <c r="F998" s="2" t="s">
        <v>5</v>
      </c>
      <c r="G998" s="3" t="s">
        <v>6</v>
      </c>
      <c r="H998" s="3" t="s">
        <v>7</v>
      </c>
      <c r="I998" s="4" t="s">
        <v>8</v>
      </c>
      <c r="J998" s="2" t="s">
        <v>9</v>
      </c>
      <c r="K998" s="3" t="s">
        <v>10</v>
      </c>
      <c r="L998" s="2" t="s">
        <v>9</v>
      </c>
    </row>
    <row r="999" spans="1:12" x14ac:dyDescent="0.25">
      <c r="A999" s="5">
        <v>45940</v>
      </c>
      <c r="B999" t="s">
        <v>31</v>
      </c>
      <c r="C999" t="s">
        <v>533</v>
      </c>
      <c r="D999" t="s">
        <v>45</v>
      </c>
      <c r="G999" t="s">
        <v>534</v>
      </c>
      <c r="I999" t="s">
        <v>535</v>
      </c>
      <c r="J999" s="6">
        <v>280000</v>
      </c>
    </row>
    <row r="1000" spans="1:12" x14ac:dyDescent="0.25">
      <c r="I1000" t="s">
        <v>536</v>
      </c>
      <c r="J1000" s="6">
        <v>75000</v>
      </c>
    </row>
    <row r="1001" spans="1:12" x14ac:dyDescent="0.25">
      <c r="I1001" t="s">
        <v>537</v>
      </c>
      <c r="J1001" s="6">
        <v>60000</v>
      </c>
    </row>
    <row r="1002" spans="1:12" x14ac:dyDescent="0.25">
      <c r="I1002" t="s">
        <v>538</v>
      </c>
      <c r="J1002" s="6">
        <v>320000</v>
      </c>
    </row>
    <row r="1003" spans="1:12" x14ac:dyDescent="0.25">
      <c r="I1003" t="s">
        <v>539</v>
      </c>
      <c r="J1003" s="6">
        <v>80000</v>
      </c>
    </row>
    <row r="1004" spans="1:12" x14ac:dyDescent="0.25">
      <c r="I1004" t="s">
        <v>540</v>
      </c>
      <c r="J1004" s="6">
        <v>250000</v>
      </c>
    </row>
    <row r="1005" spans="1:12" x14ac:dyDescent="0.25">
      <c r="I1005" t="s">
        <v>61</v>
      </c>
      <c r="J1005" s="6">
        <v>80000</v>
      </c>
    </row>
    <row r="1006" spans="1:12" x14ac:dyDescent="0.25">
      <c r="I1006" t="s">
        <v>340</v>
      </c>
      <c r="J1006" s="6">
        <v>550000</v>
      </c>
    </row>
    <row r="1008" spans="1:12" x14ac:dyDescent="0.25">
      <c r="I1008" t="s">
        <v>22</v>
      </c>
      <c r="J1008" s="6">
        <f>SUM(J999:J1007)</f>
        <v>1695000</v>
      </c>
    </row>
    <row r="1010" spans="1:12" x14ac:dyDescent="0.25">
      <c r="A1010" s="1" t="s">
        <v>0</v>
      </c>
      <c r="B1010" s="1" t="s">
        <v>1</v>
      </c>
      <c r="C1010" s="1" t="s">
        <v>2</v>
      </c>
      <c r="D1010" s="1" t="s">
        <v>3</v>
      </c>
      <c r="E1010" s="1" t="s">
        <v>4</v>
      </c>
      <c r="F1010" s="2" t="s">
        <v>5</v>
      </c>
      <c r="G1010" s="3" t="s">
        <v>6</v>
      </c>
      <c r="H1010" s="3" t="s">
        <v>7</v>
      </c>
      <c r="I1010" s="4" t="s">
        <v>8</v>
      </c>
      <c r="J1010" s="2" t="s">
        <v>9</v>
      </c>
      <c r="K1010" s="3" t="s">
        <v>10</v>
      </c>
      <c r="L1010" s="2" t="s">
        <v>9</v>
      </c>
    </row>
    <row r="1011" spans="1:12" x14ac:dyDescent="0.25">
      <c r="A1011" s="5">
        <v>45940</v>
      </c>
      <c r="B1011" t="s">
        <v>541</v>
      </c>
      <c r="D1011" t="s">
        <v>138</v>
      </c>
      <c r="G1011" t="s">
        <v>542</v>
      </c>
      <c r="I1011" t="s">
        <v>41</v>
      </c>
      <c r="J1011" s="6">
        <v>228000</v>
      </c>
    </row>
    <row r="1012" spans="1:12" x14ac:dyDescent="0.25">
      <c r="I1012" t="s">
        <v>34</v>
      </c>
      <c r="J1012" s="6">
        <v>69000</v>
      </c>
    </row>
    <row r="1013" spans="1:12" x14ac:dyDescent="0.25">
      <c r="I1013" t="s">
        <v>163</v>
      </c>
      <c r="J1013" s="6">
        <v>6000</v>
      </c>
    </row>
    <row r="1014" spans="1:12" x14ac:dyDescent="0.25">
      <c r="I1014" t="s">
        <v>19</v>
      </c>
      <c r="J1014" s="6">
        <v>16000</v>
      </c>
    </row>
    <row r="1016" spans="1:12" x14ac:dyDescent="0.25">
      <c r="I1016" t="s">
        <v>22</v>
      </c>
      <c r="J1016" s="6">
        <f>SUM(J1011:J1015)</f>
        <v>319000</v>
      </c>
    </row>
    <row r="1018" spans="1:12" x14ac:dyDescent="0.25">
      <c r="A1018" s="1" t="s">
        <v>0</v>
      </c>
      <c r="B1018" s="1" t="s">
        <v>1</v>
      </c>
      <c r="C1018" s="1" t="s">
        <v>2</v>
      </c>
      <c r="D1018" s="1" t="s">
        <v>3</v>
      </c>
      <c r="E1018" s="1" t="s">
        <v>4</v>
      </c>
      <c r="F1018" s="2" t="s">
        <v>5</v>
      </c>
      <c r="G1018" s="3" t="s">
        <v>6</v>
      </c>
      <c r="H1018" s="3" t="s">
        <v>7</v>
      </c>
      <c r="I1018" s="4" t="s">
        <v>8</v>
      </c>
      <c r="J1018" s="2" t="s">
        <v>9</v>
      </c>
      <c r="K1018" s="3" t="s">
        <v>10</v>
      </c>
      <c r="L1018" s="2" t="s">
        <v>9</v>
      </c>
    </row>
    <row r="1019" spans="1:12" x14ac:dyDescent="0.25">
      <c r="A1019" s="5">
        <v>45941</v>
      </c>
      <c r="B1019" t="s">
        <v>11</v>
      </c>
      <c r="C1019" t="s">
        <v>543</v>
      </c>
      <c r="D1019" t="s">
        <v>12</v>
      </c>
      <c r="E1019">
        <v>2022</v>
      </c>
      <c r="F1019" s="6">
        <v>37839</v>
      </c>
      <c r="G1019" t="s">
        <v>544</v>
      </c>
      <c r="H1019">
        <v>3118305939</v>
      </c>
      <c r="I1019" t="s">
        <v>40</v>
      </c>
      <c r="J1019" s="6">
        <v>300000</v>
      </c>
    </row>
    <row r="1020" spans="1:12" x14ac:dyDescent="0.25">
      <c r="I1020" t="s">
        <v>545</v>
      </c>
      <c r="J1020" s="6">
        <v>25000</v>
      </c>
    </row>
    <row r="1022" spans="1:12" x14ac:dyDescent="0.25">
      <c r="I1022" t="s">
        <v>22</v>
      </c>
      <c r="J1022" s="6">
        <f>SUM(J1019:J1021)</f>
        <v>325000</v>
      </c>
    </row>
    <row r="1024" spans="1:12" x14ac:dyDescent="0.25">
      <c r="A1024" s="1" t="s">
        <v>0</v>
      </c>
      <c r="B1024" s="1" t="s">
        <v>1</v>
      </c>
      <c r="C1024" s="1" t="s">
        <v>2</v>
      </c>
      <c r="D1024" s="1" t="s">
        <v>3</v>
      </c>
      <c r="E1024" s="1" t="s">
        <v>4</v>
      </c>
      <c r="F1024" s="2" t="s">
        <v>5</v>
      </c>
      <c r="G1024" s="3" t="s">
        <v>6</v>
      </c>
      <c r="H1024" s="3" t="s">
        <v>7</v>
      </c>
      <c r="I1024" s="4" t="s">
        <v>8</v>
      </c>
      <c r="J1024" s="2" t="s">
        <v>9</v>
      </c>
      <c r="K1024" s="3" t="s">
        <v>10</v>
      </c>
      <c r="L1024" s="2" t="s">
        <v>9</v>
      </c>
    </row>
    <row r="1025" spans="1:12" x14ac:dyDescent="0.25">
      <c r="A1025" s="5">
        <v>45941</v>
      </c>
      <c r="B1025" t="s">
        <v>91</v>
      </c>
      <c r="D1025" t="s">
        <v>25</v>
      </c>
      <c r="G1025" t="s">
        <v>795</v>
      </c>
      <c r="I1025" t="s">
        <v>796</v>
      </c>
    </row>
    <row r="1026" spans="1:12" x14ac:dyDescent="0.25">
      <c r="I1026" t="s">
        <v>797</v>
      </c>
    </row>
    <row r="1027" spans="1:12" x14ac:dyDescent="0.25">
      <c r="I1027" t="s">
        <v>163</v>
      </c>
    </row>
    <row r="1028" spans="1:12" x14ac:dyDescent="0.25">
      <c r="I1028" t="s">
        <v>798</v>
      </c>
    </row>
    <row r="1030" spans="1:12" x14ac:dyDescent="0.25">
      <c r="I1030" t="s">
        <v>22</v>
      </c>
    </row>
    <row r="1032" spans="1:12" x14ac:dyDescent="0.25">
      <c r="A1032" s="1" t="s">
        <v>0</v>
      </c>
      <c r="B1032" s="1" t="s">
        <v>1</v>
      </c>
      <c r="C1032" s="1" t="s">
        <v>2</v>
      </c>
      <c r="D1032" s="1" t="s">
        <v>3</v>
      </c>
      <c r="E1032" s="1" t="s">
        <v>4</v>
      </c>
      <c r="F1032" s="2" t="s">
        <v>5</v>
      </c>
      <c r="G1032" s="3" t="s">
        <v>6</v>
      </c>
      <c r="H1032" s="3" t="s">
        <v>7</v>
      </c>
      <c r="I1032" s="4" t="s">
        <v>8</v>
      </c>
      <c r="J1032" s="2" t="s">
        <v>9</v>
      </c>
      <c r="K1032" s="3" t="s">
        <v>10</v>
      </c>
      <c r="L1032" s="2" t="s">
        <v>9</v>
      </c>
    </row>
    <row r="1033" spans="1:12" x14ac:dyDescent="0.25">
      <c r="A1033" s="5">
        <v>45944</v>
      </c>
      <c r="B1033" t="s">
        <v>506</v>
      </c>
      <c r="C1033" t="s">
        <v>507</v>
      </c>
      <c r="D1033" t="s">
        <v>546</v>
      </c>
      <c r="F1033" s="6">
        <v>30302</v>
      </c>
      <c r="G1033" t="s">
        <v>508</v>
      </c>
      <c r="I1033" t="s">
        <v>547</v>
      </c>
      <c r="J1033" s="6">
        <v>70000</v>
      </c>
    </row>
    <row r="1034" spans="1:12" x14ac:dyDescent="0.25">
      <c r="I1034" t="s">
        <v>548</v>
      </c>
    </row>
    <row r="1035" spans="1:12" x14ac:dyDescent="0.25">
      <c r="I1035" t="s">
        <v>61</v>
      </c>
      <c r="J1035" s="6">
        <v>30000</v>
      </c>
    </row>
    <row r="1037" spans="1:12" x14ac:dyDescent="0.25">
      <c r="I1037" t="s">
        <v>22</v>
      </c>
      <c r="J1037" s="6">
        <f>SUM(J1033:J1036)</f>
        <v>100000</v>
      </c>
    </row>
    <row r="1039" spans="1:12" x14ac:dyDescent="0.25">
      <c r="A1039" s="1" t="s">
        <v>0</v>
      </c>
      <c r="B1039" s="1" t="s">
        <v>1</v>
      </c>
      <c r="C1039" s="1" t="s">
        <v>2</v>
      </c>
      <c r="D1039" s="1" t="s">
        <v>3</v>
      </c>
      <c r="E1039" s="1" t="s">
        <v>4</v>
      </c>
      <c r="F1039" s="2" t="s">
        <v>5</v>
      </c>
      <c r="G1039" s="3" t="s">
        <v>6</v>
      </c>
      <c r="H1039" s="3" t="s">
        <v>7</v>
      </c>
      <c r="I1039" s="4" t="s">
        <v>8</v>
      </c>
      <c r="J1039" s="2" t="s">
        <v>9</v>
      </c>
      <c r="K1039" s="3" t="s">
        <v>10</v>
      </c>
      <c r="L1039" s="2" t="s">
        <v>9</v>
      </c>
    </row>
    <row r="1040" spans="1:12" x14ac:dyDescent="0.25">
      <c r="A1040" s="5">
        <v>45945</v>
      </c>
      <c r="B1040" t="s">
        <v>209</v>
      </c>
      <c r="C1040" t="s">
        <v>549</v>
      </c>
      <c r="D1040" t="s">
        <v>25</v>
      </c>
      <c r="E1040">
        <v>2021</v>
      </c>
      <c r="F1040" s="6">
        <v>49000</v>
      </c>
      <c r="G1040" t="s">
        <v>550</v>
      </c>
      <c r="H1040">
        <v>3176790054</v>
      </c>
      <c r="I1040" t="s">
        <v>70</v>
      </c>
      <c r="J1040" s="6">
        <v>320000</v>
      </c>
    </row>
    <row r="1041" spans="1:12" x14ac:dyDescent="0.25">
      <c r="I1041" t="s">
        <v>551</v>
      </c>
      <c r="J1041" s="6">
        <v>45000</v>
      </c>
    </row>
    <row r="1042" spans="1:12" x14ac:dyDescent="0.25">
      <c r="I1042" t="s">
        <v>182</v>
      </c>
      <c r="J1042" s="6">
        <v>100000</v>
      </c>
    </row>
    <row r="1043" spans="1:12" x14ac:dyDescent="0.25">
      <c r="I1043" t="s">
        <v>433</v>
      </c>
      <c r="J1043" s="6">
        <v>25000</v>
      </c>
    </row>
    <row r="1044" spans="1:12" x14ac:dyDescent="0.25">
      <c r="I1044" t="s">
        <v>21</v>
      </c>
      <c r="J1044" s="6">
        <v>25000</v>
      </c>
    </row>
    <row r="1045" spans="1:12" x14ac:dyDescent="0.25">
      <c r="I1045" t="s">
        <v>127</v>
      </c>
      <c r="J1045" s="6">
        <v>50000</v>
      </c>
    </row>
    <row r="1046" spans="1:12" x14ac:dyDescent="0.25">
      <c r="I1046" t="s">
        <v>19</v>
      </c>
      <c r="J1046" s="6">
        <v>20000</v>
      </c>
    </row>
    <row r="1047" spans="1:12" x14ac:dyDescent="0.25">
      <c r="I1047" t="s">
        <v>107</v>
      </c>
      <c r="J1047" s="6">
        <v>35000</v>
      </c>
    </row>
    <row r="1048" spans="1:12" x14ac:dyDescent="0.25">
      <c r="I1048" t="s">
        <v>552</v>
      </c>
      <c r="J1048" s="6">
        <v>80000</v>
      </c>
    </row>
    <row r="1049" spans="1:12" x14ac:dyDescent="0.25">
      <c r="I1049" t="s">
        <v>553</v>
      </c>
      <c r="J1049" s="6">
        <v>50000</v>
      </c>
    </row>
    <row r="1050" spans="1:12" x14ac:dyDescent="0.25">
      <c r="I1050" t="s">
        <v>146</v>
      </c>
      <c r="J1050" s="6">
        <v>15000</v>
      </c>
    </row>
    <row r="1052" spans="1:12" x14ac:dyDescent="0.25">
      <c r="I1052" t="s">
        <v>22</v>
      </c>
      <c r="J1052" s="6">
        <f>SUM(J1040:J1051)</f>
        <v>765000</v>
      </c>
    </row>
    <row r="1054" spans="1:12" x14ac:dyDescent="0.25">
      <c r="A1054" s="1" t="s">
        <v>0</v>
      </c>
      <c r="B1054" s="1" t="s">
        <v>1</v>
      </c>
      <c r="C1054" s="1" t="s">
        <v>2</v>
      </c>
      <c r="D1054" s="1" t="s">
        <v>3</v>
      </c>
      <c r="E1054" s="1" t="s">
        <v>4</v>
      </c>
      <c r="F1054" s="2" t="s">
        <v>5</v>
      </c>
      <c r="G1054" s="3" t="s">
        <v>6</v>
      </c>
      <c r="H1054" s="3" t="s">
        <v>7</v>
      </c>
      <c r="I1054" s="4" t="s">
        <v>8</v>
      </c>
      <c r="J1054" s="2" t="s">
        <v>9</v>
      </c>
      <c r="K1054" s="3" t="s">
        <v>10</v>
      </c>
      <c r="L1054" s="2" t="s">
        <v>9</v>
      </c>
    </row>
    <row r="1055" spans="1:12" x14ac:dyDescent="0.25">
      <c r="A1055" s="5">
        <v>45945</v>
      </c>
      <c r="B1055" t="s">
        <v>554</v>
      </c>
      <c r="C1055" t="s">
        <v>555</v>
      </c>
      <c r="D1055" t="s">
        <v>25</v>
      </c>
      <c r="F1055" s="6">
        <v>15662</v>
      </c>
      <c r="G1055" t="s">
        <v>556</v>
      </c>
      <c r="I1055" t="s">
        <v>557</v>
      </c>
      <c r="J1055" s="6">
        <v>340000</v>
      </c>
    </row>
    <row r="1056" spans="1:12" x14ac:dyDescent="0.25">
      <c r="I1056" t="s">
        <v>198</v>
      </c>
    </row>
    <row r="1057" spans="1:12" x14ac:dyDescent="0.25">
      <c r="I1057" t="s">
        <v>61</v>
      </c>
      <c r="J1057" s="6">
        <v>60000</v>
      </c>
    </row>
    <row r="1059" spans="1:12" x14ac:dyDescent="0.25">
      <c r="I1059" t="s">
        <v>22</v>
      </c>
      <c r="J1059" s="6">
        <f>SUM(J1055:J1058)</f>
        <v>400000</v>
      </c>
    </row>
    <row r="1061" spans="1:12" x14ac:dyDescent="0.25">
      <c r="A1061" s="1" t="s">
        <v>0</v>
      </c>
      <c r="B1061" s="1" t="s">
        <v>1</v>
      </c>
      <c r="C1061" s="1" t="s">
        <v>2</v>
      </c>
      <c r="D1061" s="1" t="s">
        <v>3</v>
      </c>
      <c r="E1061" s="1" t="s">
        <v>4</v>
      </c>
      <c r="F1061" s="2" t="s">
        <v>5</v>
      </c>
      <c r="G1061" s="3" t="s">
        <v>6</v>
      </c>
      <c r="H1061" s="3" t="s">
        <v>7</v>
      </c>
      <c r="I1061" s="4" t="s">
        <v>8</v>
      </c>
      <c r="J1061" s="2" t="s">
        <v>9</v>
      </c>
      <c r="K1061" s="3" t="s">
        <v>10</v>
      </c>
      <c r="L1061" s="2" t="s">
        <v>9</v>
      </c>
    </row>
    <row r="1062" spans="1:12" x14ac:dyDescent="0.25">
      <c r="A1062" s="5">
        <v>45945</v>
      </c>
      <c r="B1062" t="s">
        <v>558</v>
      </c>
      <c r="C1062" t="s">
        <v>559</v>
      </c>
      <c r="D1062" t="s">
        <v>25</v>
      </c>
      <c r="G1062" t="s">
        <v>560</v>
      </c>
      <c r="I1062" t="s">
        <v>561</v>
      </c>
      <c r="J1062" s="6">
        <v>48000</v>
      </c>
    </row>
    <row r="1063" spans="1:12" x14ac:dyDescent="0.25">
      <c r="I1063" t="s">
        <v>34</v>
      </c>
      <c r="J1063" s="6">
        <v>104000</v>
      </c>
    </row>
    <row r="1064" spans="1:12" x14ac:dyDescent="0.25">
      <c r="I1064" t="s">
        <v>19</v>
      </c>
      <c r="J1064" s="6">
        <v>20000</v>
      </c>
    </row>
    <row r="1065" spans="1:12" x14ac:dyDescent="0.25">
      <c r="I1065" t="s">
        <v>61</v>
      </c>
      <c r="J1065" s="6">
        <v>60000</v>
      </c>
    </row>
    <row r="1066" spans="1:12" x14ac:dyDescent="0.25">
      <c r="I1066" t="s">
        <v>562</v>
      </c>
      <c r="J1066" s="6">
        <v>20000</v>
      </c>
    </row>
    <row r="1068" spans="1:12" x14ac:dyDescent="0.25">
      <c r="I1068" t="s">
        <v>22</v>
      </c>
      <c r="J1068" s="6">
        <f>SUM(J1062:J1067)</f>
        <v>252000</v>
      </c>
    </row>
    <row r="1070" spans="1:12" x14ac:dyDescent="0.25">
      <c r="A1070" s="1" t="s">
        <v>0</v>
      </c>
      <c r="B1070" s="1" t="s">
        <v>1</v>
      </c>
      <c r="C1070" s="1" t="s">
        <v>2</v>
      </c>
      <c r="D1070" s="1" t="s">
        <v>3</v>
      </c>
      <c r="E1070" s="1" t="s">
        <v>4</v>
      </c>
      <c r="F1070" s="2" t="s">
        <v>5</v>
      </c>
      <c r="G1070" s="3" t="s">
        <v>6</v>
      </c>
      <c r="H1070" s="3" t="s">
        <v>7</v>
      </c>
      <c r="I1070" s="4" t="s">
        <v>8</v>
      </c>
      <c r="J1070" s="2" t="s">
        <v>9</v>
      </c>
      <c r="K1070" s="3" t="s">
        <v>10</v>
      </c>
      <c r="L1070" s="2" t="s">
        <v>9</v>
      </c>
    </row>
    <row r="1071" spans="1:12" x14ac:dyDescent="0.25">
      <c r="A1071" s="5">
        <v>45945</v>
      </c>
      <c r="B1071" t="s">
        <v>31</v>
      </c>
      <c r="C1071" t="s">
        <v>563</v>
      </c>
      <c r="D1071" t="s">
        <v>12</v>
      </c>
      <c r="F1071" s="6">
        <v>52747</v>
      </c>
      <c r="I1071" t="s">
        <v>103</v>
      </c>
      <c r="J1071" s="6">
        <v>1800000</v>
      </c>
    </row>
    <row r="1072" spans="1:12" x14ac:dyDescent="0.25">
      <c r="I1072" t="s">
        <v>107</v>
      </c>
      <c r="J1072" s="6">
        <v>125000</v>
      </c>
    </row>
    <row r="1073" spans="1:12" x14ac:dyDescent="0.25">
      <c r="I1073" t="s">
        <v>70</v>
      </c>
      <c r="J1073" s="6">
        <v>390000</v>
      </c>
    </row>
    <row r="1074" spans="1:12" x14ac:dyDescent="0.25">
      <c r="I1074" t="s">
        <v>123</v>
      </c>
      <c r="J1074" s="6">
        <v>150000</v>
      </c>
    </row>
    <row r="1075" spans="1:12" x14ac:dyDescent="0.25">
      <c r="I1075" t="s">
        <v>21</v>
      </c>
      <c r="J1075" s="6">
        <v>25000</v>
      </c>
    </row>
    <row r="1076" spans="1:12" x14ac:dyDescent="0.25">
      <c r="I1076" t="s">
        <v>564</v>
      </c>
      <c r="J1076" s="6">
        <v>180000</v>
      </c>
    </row>
    <row r="1078" spans="1:12" x14ac:dyDescent="0.25">
      <c r="I1078" t="s">
        <v>22</v>
      </c>
      <c r="J1078" s="6">
        <f>SUM(J1071:J1077)</f>
        <v>2670000</v>
      </c>
    </row>
    <row r="1080" spans="1:12" x14ac:dyDescent="0.25">
      <c r="A1080" s="1" t="s">
        <v>0</v>
      </c>
      <c r="B1080" s="1" t="s">
        <v>1</v>
      </c>
      <c r="C1080" s="1" t="s">
        <v>2</v>
      </c>
      <c r="D1080" s="1" t="s">
        <v>3</v>
      </c>
      <c r="E1080" s="1" t="s">
        <v>4</v>
      </c>
      <c r="F1080" s="2" t="s">
        <v>5</v>
      </c>
      <c r="G1080" s="3" t="s">
        <v>6</v>
      </c>
      <c r="H1080" s="3" t="s">
        <v>7</v>
      </c>
      <c r="I1080" s="4" t="s">
        <v>8</v>
      </c>
      <c r="J1080" s="2" t="s">
        <v>9</v>
      </c>
      <c r="K1080" s="3" t="s">
        <v>10</v>
      </c>
      <c r="L1080" s="2" t="s">
        <v>9</v>
      </c>
    </row>
    <row r="1081" spans="1:12" x14ac:dyDescent="0.25">
      <c r="A1081" s="5">
        <v>45945</v>
      </c>
      <c r="B1081" t="s">
        <v>202</v>
      </c>
      <c r="C1081" t="s">
        <v>584</v>
      </c>
      <c r="D1081" t="s">
        <v>25</v>
      </c>
      <c r="F1081" s="6">
        <v>49920</v>
      </c>
      <c r="G1081" t="s">
        <v>585</v>
      </c>
      <c r="I1081" t="s">
        <v>557</v>
      </c>
      <c r="J1081" s="6">
        <v>350000</v>
      </c>
    </row>
    <row r="1082" spans="1:12" x14ac:dyDescent="0.25">
      <c r="I1082" t="s">
        <v>586</v>
      </c>
      <c r="J1082" s="6">
        <v>80000</v>
      </c>
    </row>
    <row r="1084" spans="1:12" x14ac:dyDescent="0.25">
      <c r="I1084" t="s">
        <v>22</v>
      </c>
      <c r="J1084" s="6">
        <f>SUM(J1081:J1083)</f>
        <v>430000</v>
      </c>
    </row>
    <row r="1086" spans="1:12" x14ac:dyDescent="0.25">
      <c r="A1086" s="1" t="s">
        <v>0</v>
      </c>
      <c r="B1086" s="1" t="s">
        <v>1</v>
      </c>
      <c r="C1086" s="1" t="s">
        <v>2</v>
      </c>
      <c r="D1086" s="1" t="s">
        <v>3</v>
      </c>
      <c r="E1086" s="1" t="s">
        <v>4</v>
      </c>
      <c r="F1086" s="2" t="s">
        <v>5</v>
      </c>
      <c r="G1086" s="3" t="s">
        <v>6</v>
      </c>
      <c r="H1086" s="3" t="s">
        <v>7</v>
      </c>
      <c r="I1086" s="4" t="s">
        <v>8</v>
      </c>
      <c r="J1086" s="2" t="s">
        <v>9</v>
      </c>
      <c r="K1086" s="3" t="s">
        <v>10</v>
      </c>
      <c r="L1086" s="2" t="s">
        <v>9</v>
      </c>
    </row>
    <row r="1087" spans="1:12" x14ac:dyDescent="0.25">
      <c r="A1087" s="5">
        <v>45946</v>
      </c>
      <c r="B1087" t="s">
        <v>31</v>
      </c>
      <c r="C1087" t="s">
        <v>565</v>
      </c>
      <c r="D1087" t="s">
        <v>45</v>
      </c>
      <c r="F1087" s="6">
        <v>101175</v>
      </c>
      <c r="G1087" t="s">
        <v>566</v>
      </c>
      <c r="I1087" t="s">
        <v>567</v>
      </c>
      <c r="J1087" s="6">
        <v>434000</v>
      </c>
    </row>
    <row r="1088" spans="1:12" x14ac:dyDescent="0.25">
      <c r="I1088" t="s">
        <v>568</v>
      </c>
    </row>
    <row r="1090" spans="1:12" x14ac:dyDescent="0.25">
      <c r="I1090" t="s">
        <v>22</v>
      </c>
      <c r="J1090" s="6">
        <f>SUM(J1087:J1089)</f>
        <v>434000</v>
      </c>
    </row>
    <row r="1092" spans="1:12" x14ac:dyDescent="0.25">
      <c r="A1092" s="1" t="s">
        <v>0</v>
      </c>
      <c r="B1092" s="1" t="s">
        <v>1</v>
      </c>
      <c r="C1092" s="1" t="s">
        <v>2</v>
      </c>
      <c r="D1092" s="1" t="s">
        <v>3</v>
      </c>
      <c r="E1092" s="1" t="s">
        <v>4</v>
      </c>
      <c r="F1092" s="2" t="s">
        <v>5</v>
      </c>
      <c r="G1092" s="3" t="s">
        <v>6</v>
      </c>
      <c r="H1092" s="3" t="s">
        <v>7</v>
      </c>
      <c r="I1092" s="4" t="s">
        <v>8</v>
      </c>
      <c r="J1092" s="2" t="s">
        <v>9</v>
      </c>
      <c r="K1092" s="3" t="s">
        <v>10</v>
      </c>
      <c r="L1092" s="2" t="s">
        <v>9</v>
      </c>
    </row>
    <row r="1093" spans="1:12" x14ac:dyDescent="0.25">
      <c r="A1093" s="5">
        <v>45946</v>
      </c>
      <c r="B1093" t="s">
        <v>110</v>
      </c>
      <c r="C1093" t="s">
        <v>569</v>
      </c>
      <c r="D1093" t="s">
        <v>25</v>
      </c>
      <c r="F1093" s="6">
        <v>166386</v>
      </c>
      <c r="G1093" t="s">
        <v>570</v>
      </c>
      <c r="I1093" t="s">
        <v>553</v>
      </c>
      <c r="J1093" s="6">
        <v>90000</v>
      </c>
    </row>
    <row r="1094" spans="1:12" x14ac:dyDescent="0.25">
      <c r="I1094" t="s">
        <v>146</v>
      </c>
      <c r="J1094" s="6">
        <v>35000</v>
      </c>
    </row>
    <row r="1095" spans="1:12" x14ac:dyDescent="0.25">
      <c r="I1095" t="s">
        <v>147</v>
      </c>
      <c r="J1095" s="6">
        <v>40000</v>
      </c>
    </row>
    <row r="1096" spans="1:12" x14ac:dyDescent="0.25">
      <c r="I1096" t="s">
        <v>571</v>
      </c>
      <c r="J1096" s="6">
        <v>50000</v>
      </c>
    </row>
    <row r="1097" spans="1:12" x14ac:dyDescent="0.25">
      <c r="I1097" t="s">
        <v>572</v>
      </c>
      <c r="J1097" s="6">
        <v>10000</v>
      </c>
    </row>
    <row r="1099" spans="1:12" x14ac:dyDescent="0.25">
      <c r="I1099" t="s">
        <v>22</v>
      </c>
      <c r="J1099" s="6">
        <f>SUM(J1093:J1098)</f>
        <v>225000</v>
      </c>
    </row>
    <row r="1101" spans="1:12" x14ac:dyDescent="0.25">
      <c r="A1101" s="1" t="s">
        <v>0</v>
      </c>
      <c r="B1101" s="1" t="s">
        <v>1</v>
      </c>
      <c r="C1101" s="1" t="s">
        <v>2</v>
      </c>
      <c r="D1101" s="1" t="s">
        <v>3</v>
      </c>
      <c r="E1101" s="1" t="s">
        <v>4</v>
      </c>
      <c r="F1101" s="2" t="s">
        <v>5</v>
      </c>
      <c r="G1101" s="3" t="s">
        <v>6</v>
      </c>
      <c r="H1101" s="3" t="s">
        <v>7</v>
      </c>
      <c r="I1101" s="4" t="s">
        <v>8</v>
      </c>
      <c r="J1101" s="2" t="s">
        <v>9</v>
      </c>
      <c r="K1101" s="3" t="s">
        <v>10</v>
      </c>
      <c r="L1101" s="2" t="s">
        <v>9</v>
      </c>
    </row>
    <row r="1102" spans="1:12" x14ac:dyDescent="0.25">
      <c r="A1102" s="5">
        <v>45947</v>
      </c>
      <c r="B1102" t="s">
        <v>31</v>
      </c>
      <c r="C1102" t="s">
        <v>573</v>
      </c>
      <c r="D1102" t="s">
        <v>25</v>
      </c>
      <c r="F1102" s="6">
        <v>45800</v>
      </c>
      <c r="G1102" t="s">
        <v>583</v>
      </c>
      <c r="H1102">
        <v>3157239260</v>
      </c>
      <c r="I1102" t="s">
        <v>574</v>
      </c>
      <c r="J1102" s="6">
        <v>370000</v>
      </c>
    </row>
    <row r="1103" spans="1:12" x14ac:dyDescent="0.25">
      <c r="I1103" t="s">
        <v>61</v>
      </c>
      <c r="J1103" s="6">
        <v>80000</v>
      </c>
    </row>
    <row r="1104" spans="1:12" x14ac:dyDescent="0.25">
      <c r="I1104" t="s">
        <v>575</v>
      </c>
      <c r="J1104" s="6">
        <v>40000</v>
      </c>
    </row>
    <row r="1105" spans="1:12" x14ac:dyDescent="0.25">
      <c r="I1105" t="s">
        <v>576</v>
      </c>
      <c r="J1105" s="6">
        <v>36000</v>
      </c>
    </row>
    <row r="1107" spans="1:12" x14ac:dyDescent="0.25">
      <c r="I1107" t="s">
        <v>22</v>
      </c>
      <c r="J1107" s="6">
        <f>SUM(J1102:J1106)</f>
        <v>526000</v>
      </c>
    </row>
    <row r="1109" spans="1:12" x14ac:dyDescent="0.25">
      <c r="A1109" s="1" t="s">
        <v>0</v>
      </c>
      <c r="B1109" s="1" t="s">
        <v>1</v>
      </c>
      <c r="C1109" s="1" t="s">
        <v>2</v>
      </c>
      <c r="D1109" s="1" t="s">
        <v>3</v>
      </c>
      <c r="E1109" s="1" t="s">
        <v>4</v>
      </c>
      <c r="F1109" s="2" t="s">
        <v>5</v>
      </c>
      <c r="G1109" s="3" t="s">
        <v>6</v>
      </c>
      <c r="H1109" s="3" t="s">
        <v>7</v>
      </c>
      <c r="I1109" s="4" t="s">
        <v>8</v>
      </c>
      <c r="J1109" s="2" t="s">
        <v>9</v>
      </c>
      <c r="K1109" s="3" t="s">
        <v>10</v>
      </c>
      <c r="L1109" s="2" t="s">
        <v>9</v>
      </c>
    </row>
    <row r="1110" spans="1:12" x14ac:dyDescent="0.25">
      <c r="A1110" s="5">
        <v>45947</v>
      </c>
      <c r="B1110" t="s">
        <v>577</v>
      </c>
      <c r="C1110" t="s">
        <v>578</v>
      </c>
      <c r="F1110" s="6">
        <v>26751</v>
      </c>
      <c r="G1110" t="s">
        <v>579</v>
      </c>
      <c r="I1110" t="s">
        <v>34</v>
      </c>
      <c r="J1110" s="6">
        <v>214000</v>
      </c>
    </row>
    <row r="1111" spans="1:12" x14ac:dyDescent="0.25">
      <c r="I1111" t="s">
        <v>19</v>
      </c>
      <c r="J1111" s="6">
        <v>68000</v>
      </c>
    </row>
    <row r="1112" spans="1:12" x14ac:dyDescent="0.25">
      <c r="I1112" t="s">
        <v>580</v>
      </c>
      <c r="J1112" s="6">
        <v>80000</v>
      </c>
    </row>
    <row r="1113" spans="1:12" x14ac:dyDescent="0.25">
      <c r="I1113" t="s">
        <v>581</v>
      </c>
      <c r="J1113" s="6">
        <v>38000</v>
      </c>
    </row>
    <row r="1114" spans="1:12" x14ac:dyDescent="0.25">
      <c r="I1114" t="s">
        <v>194</v>
      </c>
      <c r="J1114" s="6">
        <v>15000</v>
      </c>
    </row>
    <row r="1115" spans="1:12" x14ac:dyDescent="0.25">
      <c r="I1115" t="s">
        <v>582</v>
      </c>
      <c r="J1115" s="6">
        <v>20000</v>
      </c>
    </row>
    <row r="1117" spans="1:12" x14ac:dyDescent="0.25">
      <c r="I1117" t="s">
        <v>22</v>
      </c>
      <c r="J1117" s="6">
        <f>SUM(J1110:J1116)</f>
        <v>435000</v>
      </c>
    </row>
    <row r="1119" spans="1:12" x14ac:dyDescent="0.25">
      <c r="A1119" s="1" t="s">
        <v>0</v>
      </c>
      <c r="B1119" s="1" t="s">
        <v>1</v>
      </c>
      <c r="C1119" s="1" t="s">
        <v>2</v>
      </c>
      <c r="D1119" s="1" t="s">
        <v>3</v>
      </c>
      <c r="E1119" s="1" t="s">
        <v>4</v>
      </c>
      <c r="F1119" s="2" t="s">
        <v>5</v>
      </c>
      <c r="G1119" s="3" t="s">
        <v>6</v>
      </c>
      <c r="H1119" s="3" t="s">
        <v>7</v>
      </c>
      <c r="I1119" s="4" t="s">
        <v>8</v>
      </c>
      <c r="J1119" s="2" t="s">
        <v>9</v>
      </c>
      <c r="K1119" s="3" t="s">
        <v>10</v>
      </c>
      <c r="L1119" s="2" t="s">
        <v>9</v>
      </c>
    </row>
    <row r="1120" spans="1:12" x14ac:dyDescent="0.25">
      <c r="A1120" s="5">
        <v>45947</v>
      </c>
      <c r="B1120" t="s">
        <v>31</v>
      </c>
      <c r="C1120" t="s">
        <v>587</v>
      </c>
      <c r="E1120">
        <v>2015</v>
      </c>
      <c r="F1120" s="6">
        <v>83791</v>
      </c>
      <c r="G1120" t="s">
        <v>588</v>
      </c>
      <c r="I1120" t="s">
        <v>35</v>
      </c>
      <c r="J1120" s="6">
        <v>150000</v>
      </c>
    </row>
    <row r="1121" spans="1:12" x14ac:dyDescent="0.25">
      <c r="I1121" t="s">
        <v>589</v>
      </c>
      <c r="J1121" s="6">
        <v>140000</v>
      </c>
    </row>
    <row r="1122" spans="1:12" x14ac:dyDescent="0.25">
      <c r="I1122" t="s">
        <v>590</v>
      </c>
      <c r="J1122" s="6">
        <v>140000</v>
      </c>
    </row>
    <row r="1123" spans="1:12" x14ac:dyDescent="0.25">
      <c r="I1123" t="s">
        <v>591</v>
      </c>
      <c r="J1123" s="6">
        <v>50000</v>
      </c>
    </row>
    <row r="1125" spans="1:12" x14ac:dyDescent="0.25">
      <c r="I1125" t="s">
        <v>22</v>
      </c>
      <c r="J1125" s="6">
        <f>SUM(J1120:J1124)</f>
        <v>480000</v>
      </c>
    </row>
    <row r="1127" spans="1:12" x14ac:dyDescent="0.25">
      <c r="A1127" s="1" t="s">
        <v>0</v>
      </c>
      <c r="B1127" s="1" t="s">
        <v>1</v>
      </c>
      <c r="C1127" s="1" t="s">
        <v>2</v>
      </c>
      <c r="D1127" s="1" t="s">
        <v>3</v>
      </c>
      <c r="E1127" s="1" t="s">
        <v>4</v>
      </c>
      <c r="F1127" s="2" t="s">
        <v>5</v>
      </c>
      <c r="G1127" s="3" t="s">
        <v>6</v>
      </c>
      <c r="H1127" s="3" t="s">
        <v>7</v>
      </c>
      <c r="I1127" s="4" t="s">
        <v>8</v>
      </c>
      <c r="J1127" s="2" t="s">
        <v>9</v>
      </c>
      <c r="K1127" s="3" t="s">
        <v>10</v>
      </c>
      <c r="L1127" s="2" t="s">
        <v>9</v>
      </c>
    </row>
    <row r="1128" spans="1:12" x14ac:dyDescent="0.25">
      <c r="A1128" s="5">
        <v>45947</v>
      </c>
      <c r="B1128" t="s">
        <v>31</v>
      </c>
      <c r="C1128" t="s">
        <v>592</v>
      </c>
      <c r="G1128" t="s">
        <v>593</v>
      </c>
      <c r="I1128" t="s">
        <v>594</v>
      </c>
      <c r="J1128" s="6">
        <v>150000</v>
      </c>
    </row>
    <row r="1129" spans="1:12" x14ac:dyDescent="0.25">
      <c r="I1129" t="s">
        <v>595</v>
      </c>
    </row>
    <row r="1130" spans="1:12" x14ac:dyDescent="0.25">
      <c r="I1130" t="s">
        <v>21</v>
      </c>
      <c r="J1130" s="6">
        <v>25000</v>
      </c>
    </row>
    <row r="1131" spans="1:12" x14ac:dyDescent="0.25">
      <c r="I1131" t="s">
        <v>596</v>
      </c>
      <c r="J1131" s="6">
        <v>30000</v>
      </c>
    </row>
    <row r="1132" spans="1:12" x14ac:dyDescent="0.25">
      <c r="I1132" t="s">
        <v>103</v>
      </c>
      <c r="J1132" s="6">
        <v>1800000</v>
      </c>
    </row>
    <row r="1134" spans="1:12" x14ac:dyDescent="0.25">
      <c r="I1134" t="s">
        <v>22</v>
      </c>
      <c r="J1134" s="6">
        <f>SUM(J1128:J1133)</f>
        <v>2005000</v>
      </c>
    </row>
    <row r="1136" spans="1:12" x14ac:dyDescent="0.25">
      <c r="A1136" s="1" t="s">
        <v>0</v>
      </c>
      <c r="B1136" s="1" t="s">
        <v>1</v>
      </c>
      <c r="C1136" s="1" t="s">
        <v>2</v>
      </c>
      <c r="D1136" s="1" t="s">
        <v>3</v>
      </c>
      <c r="E1136" s="1" t="s">
        <v>4</v>
      </c>
      <c r="F1136" s="2" t="s">
        <v>5</v>
      </c>
      <c r="G1136" s="3" t="s">
        <v>6</v>
      </c>
      <c r="H1136" s="3" t="s">
        <v>7</v>
      </c>
      <c r="I1136" s="4" t="s">
        <v>8</v>
      </c>
      <c r="J1136" s="2" t="s">
        <v>9</v>
      </c>
      <c r="K1136" s="3" t="s">
        <v>10</v>
      </c>
      <c r="L1136" s="2" t="s">
        <v>9</v>
      </c>
    </row>
    <row r="1137" spans="1:12" x14ac:dyDescent="0.25">
      <c r="A1137" s="5">
        <v>45947</v>
      </c>
      <c r="B1137" t="s">
        <v>31</v>
      </c>
      <c r="C1137" t="s">
        <v>597</v>
      </c>
      <c r="D1137" t="s">
        <v>25</v>
      </c>
      <c r="E1137">
        <v>2021</v>
      </c>
      <c r="F1137" s="6">
        <v>25697</v>
      </c>
      <c r="G1137" t="s">
        <v>598</v>
      </c>
      <c r="H1137">
        <v>3112021042</v>
      </c>
      <c r="I1137" t="s">
        <v>599</v>
      </c>
      <c r="J1137" s="6">
        <v>50000</v>
      </c>
    </row>
    <row r="1138" spans="1:12" x14ac:dyDescent="0.25">
      <c r="I1138" t="s">
        <v>600</v>
      </c>
      <c r="J1138" s="6">
        <v>30000</v>
      </c>
    </row>
    <row r="1139" spans="1:12" x14ac:dyDescent="0.25">
      <c r="I1139" t="s">
        <v>601</v>
      </c>
      <c r="J1139" s="6">
        <v>120000</v>
      </c>
    </row>
    <row r="1140" spans="1:12" x14ac:dyDescent="0.25">
      <c r="I1140" t="s">
        <v>602</v>
      </c>
      <c r="J1140" s="6">
        <v>40000</v>
      </c>
    </row>
    <row r="1142" spans="1:12" x14ac:dyDescent="0.25">
      <c r="I1142" t="s">
        <v>22</v>
      </c>
      <c r="J1142" s="6">
        <f>SUM(J1137:J1141)</f>
        <v>240000</v>
      </c>
    </row>
    <row r="1144" spans="1:12" x14ac:dyDescent="0.25">
      <c r="A1144" s="1" t="s">
        <v>0</v>
      </c>
      <c r="B1144" s="1" t="s">
        <v>1</v>
      </c>
      <c r="C1144" s="1" t="s">
        <v>2</v>
      </c>
      <c r="D1144" s="1" t="s">
        <v>3</v>
      </c>
      <c r="E1144" s="1" t="s">
        <v>4</v>
      </c>
      <c r="F1144" s="2" t="s">
        <v>5</v>
      </c>
      <c r="G1144" s="3" t="s">
        <v>6</v>
      </c>
      <c r="H1144" s="3" t="s">
        <v>7</v>
      </c>
      <c r="I1144" s="4" t="s">
        <v>8</v>
      </c>
      <c r="J1144" s="2" t="s">
        <v>9</v>
      </c>
      <c r="K1144" s="3" t="s">
        <v>10</v>
      </c>
      <c r="L1144" s="2" t="s">
        <v>9</v>
      </c>
    </row>
    <row r="1145" spans="1:12" x14ac:dyDescent="0.25">
      <c r="A1145" s="5">
        <v>45948</v>
      </c>
      <c r="B1145" t="s">
        <v>603</v>
      </c>
      <c r="D1145" t="s">
        <v>138</v>
      </c>
      <c r="G1145" t="s">
        <v>143</v>
      </c>
      <c r="I1145" t="s">
        <v>604</v>
      </c>
      <c r="J1145" s="6">
        <v>350000</v>
      </c>
    </row>
    <row r="1146" spans="1:12" x14ac:dyDescent="0.25">
      <c r="I1146" t="s">
        <v>21</v>
      </c>
      <c r="J1146" s="6">
        <v>30000</v>
      </c>
    </row>
    <row r="1147" spans="1:12" x14ac:dyDescent="0.25">
      <c r="I1147" t="s">
        <v>605</v>
      </c>
      <c r="J1147" s="6">
        <v>20000</v>
      </c>
    </row>
    <row r="1149" spans="1:12" x14ac:dyDescent="0.25">
      <c r="I1149" t="s">
        <v>22</v>
      </c>
      <c r="J1149" s="6">
        <f>SUM(J1145:J1148)</f>
        <v>400000</v>
      </c>
    </row>
    <row r="1151" spans="1:12" x14ac:dyDescent="0.25">
      <c r="A1151" s="1" t="s">
        <v>0</v>
      </c>
      <c r="B1151" s="1" t="s">
        <v>1</v>
      </c>
      <c r="C1151" s="1" t="s">
        <v>2</v>
      </c>
      <c r="D1151" s="1" t="s">
        <v>3</v>
      </c>
      <c r="E1151" s="1" t="s">
        <v>4</v>
      </c>
      <c r="F1151" s="2" t="s">
        <v>5</v>
      </c>
      <c r="G1151" s="3" t="s">
        <v>6</v>
      </c>
      <c r="H1151" s="3" t="s">
        <v>7</v>
      </c>
      <c r="I1151" s="4" t="s">
        <v>8</v>
      </c>
      <c r="J1151" s="2" t="s">
        <v>9</v>
      </c>
      <c r="K1151" s="3" t="s">
        <v>10</v>
      </c>
      <c r="L1151" s="2" t="s">
        <v>9</v>
      </c>
    </row>
    <row r="1152" spans="1:12" x14ac:dyDescent="0.25">
      <c r="A1152" s="5">
        <v>45948</v>
      </c>
      <c r="B1152" t="s">
        <v>110</v>
      </c>
      <c r="C1152" t="s">
        <v>606</v>
      </c>
      <c r="D1152" t="s">
        <v>12</v>
      </c>
      <c r="E1152">
        <v>2011</v>
      </c>
      <c r="F1152" s="6">
        <v>148637</v>
      </c>
      <c r="G1152" t="s">
        <v>607</v>
      </c>
      <c r="H1152">
        <v>3204052150</v>
      </c>
      <c r="I1152" t="s">
        <v>608</v>
      </c>
      <c r="J1152" s="6">
        <v>750000</v>
      </c>
    </row>
    <row r="1153" spans="1:12" x14ac:dyDescent="0.25">
      <c r="I1153" t="s">
        <v>426</v>
      </c>
      <c r="J1153" s="6">
        <v>250000</v>
      </c>
    </row>
    <row r="1154" spans="1:12" x14ac:dyDescent="0.25">
      <c r="I1154" t="s">
        <v>609</v>
      </c>
      <c r="J1154" s="6">
        <v>330000</v>
      </c>
    </row>
    <row r="1155" spans="1:12" x14ac:dyDescent="0.25">
      <c r="I1155" t="s">
        <v>429</v>
      </c>
      <c r="J1155" s="6">
        <v>190000</v>
      </c>
    </row>
    <row r="1156" spans="1:12" x14ac:dyDescent="0.25">
      <c r="I1156" t="s">
        <v>335</v>
      </c>
      <c r="J1156" s="6">
        <v>220000</v>
      </c>
    </row>
    <row r="1157" spans="1:12" x14ac:dyDescent="0.25">
      <c r="I1157" t="s">
        <v>610</v>
      </c>
      <c r="J1157" s="6">
        <v>150000</v>
      </c>
    </row>
    <row r="1158" spans="1:12" x14ac:dyDescent="0.25">
      <c r="I1158" t="s">
        <v>611</v>
      </c>
      <c r="J1158" s="6">
        <v>120000</v>
      </c>
    </row>
    <row r="1160" spans="1:12" x14ac:dyDescent="0.25">
      <c r="I1160" t="s">
        <v>22</v>
      </c>
      <c r="J1160" s="6">
        <f>SUM(J1152:J1159)</f>
        <v>2010000</v>
      </c>
    </row>
    <row r="1162" spans="1:12" x14ac:dyDescent="0.25">
      <c r="A1162" s="1" t="s">
        <v>0</v>
      </c>
      <c r="B1162" s="1" t="s">
        <v>1</v>
      </c>
      <c r="C1162" s="1" t="s">
        <v>2</v>
      </c>
      <c r="D1162" s="1" t="s">
        <v>3</v>
      </c>
      <c r="E1162" s="1" t="s">
        <v>4</v>
      </c>
      <c r="F1162" s="2" t="s">
        <v>5</v>
      </c>
      <c r="G1162" s="3" t="s">
        <v>6</v>
      </c>
      <c r="H1162" s="3" t="s">
        <v>7</v>
      </c>
      <c r="I1162" s="4" t="s">
        <v>8</v>
      </c>
      <c r="J1162" s="2" t="s">
        <v>9</v>
      </c>
      <c r="K1162" s="3" t="s">
        <v>10</v>
      </c>
      <c r="L1162" s="2" t="s">
        <v>9</v>
      </c>
    </row>
    <row r="1163" spans="1:12" x14ac:dyDescent="0.25">
      <c r="A1163" s="5">
        <v>45948</v>
      </c>
      <c r="B1163" t="s">
        <v>612</v>
      </c>
      <c r="C1163" t="s">
        <v>613</v>
      </c>
      <c r="D1163" t="s">
        <v>25</v>
      </c>
      <c r="E1163">
        <v>2016</v>
      </c>
      <c r="G1163" t="s">
        <v>614</v>
      </c>
      <c r="H1163">
        <v>3192381037</v>
      </c>
      <c r="I1163" t="s">
        <v>615</v>
      </c>
      <c r="J1163" s="6">
        <v>36000</v>
      </c>
    </row>
    <row r="1164" spans="1:12" x14ac:dyDescent="0.25">
      <c r="I1164" t="s">
        <v>616</v>
      </c>
      <c r="J1164" s="6">
        <v>140000</v>
      </c>
    </row>
    <row r="1165" spans="1:12" x14ac:dyDescent="0.25">
      <c r="I1165" t="s">
        <v>34</v>
      </c>
      <c r="J1165" s="6">
        <v>40000</v>
      </c>
    </row>
    <row r="1166" spans="1:12" x14ac:dyDescent="0.25">
      <c r="I1166" t="s">
        <v>70</v>
      </c>
      <c r="J1166" s="6">
        <v>250000</v>
      </c>
    </row>
    <row r="1167" spans="1:12" x14ac:dyDescent="0.25">
      <c r="I1167" t="s">
        <v>617</v>
      </c>
      <c r="J1167" s="6">
        <v>40000</v>
      </c>
    </row>
    <row r="1168" spans="1:12" x14ac:dyDescent="0.25">
      <c r="I1168" t="s">
        <v>107</v>
      </c>
      <c r="J1168" s="6">
        <v>35000</v>
      </c>
    </row>
    <row r="1169" spans="1:12" x14ac:dyDescent="0.25">
      <c r="I1169" t="s">
        <v>304</v>
      </c>
      <c r="J1169" s="6">
        <v>25000</v>
      </c>
    </row>
    <row r="1170" spans="1:12" x14ac:dyDescent="0.25">
      <c r="I1170" t="s">
        <v>618</v>
      </c>
      <c r="J1170" s="6">
        <v>20000</v>
      </c>
    </row>
    <row r="1171" spans="1:12" x14ac:dyDescent="0.25">
      <c r="I1171" t="s">
        <v>620</v>
      </c>
      <c r="J1171" s="6">
        <v>18000</v>
      </c>
    </row>
    <row r="1173" spans="1:12" x14ac:dyDescent="0.25">
      <c r="I1173" t="s">
        <v>619</v>
      </c>
      <c r="J1173" s="6">
        <f>SUM(J1163:J1172)</f>
        <v>604000</v>
      </c>
    </row>
    <row r="1175" spans="1:12" x14ac:dyDescent="0.25">
      <c r="A1175" s="1" t="s">
        <v>0</v>
      </c>
      <c r="B1175" s="1" t="s">
        <v>1</v>
      </c>
      <c r="C1175" s="1" t="s">
        <v>2</v>
      </c>
      <c r="D1175" s="1" t="s">
        <v>3</v>
      </c>
      <c r="E1175" s="1" t="s">
        <v>4</v>
      </c>
      <c r="F1175" s="2" t="s">
        <v>5</v>
      </c>
      <c r="G1175" s="3" t="s">
        <v>6</v>
      </c>
      <c r="H1175" s="3" t="s">
        <v>7</v>
      </c>
      <c r="I1175" s="4" t="s">
        <v>8</v>
      </c>
      <c r="J1175" s="2" t="s">
        <v>9</v>
      </c>
      <c r="K1175" s="3" t="s">
        <v>10</v>
      </c>
      <c r="L1175" s="2" t="s">
        <v>9</v>
      </c>
    </row>
    <row r="1176" spans="1:12" x14ac:dyDescent="0.25">
      <c r="A1176" s="5">
        <v>45948</v>
      </c>
      <c r="B1176" t="s">
        <v>621</v>
      </c>
      <c r="C1176" t="s">
        <v>622</v>
      </c>
      <c r="D1176" t="s">
        <v>45</v>
      </c>
      <c r="E1176">
        <v>2021</v>
      </c>
      <c r="F1176" s="6">
        <v>66197</v>
      </c>
      <c r="G1176" t="s">
        <v>623</v>
      </c>
      <c r="H1176">
        <v>3163578265</v>
      </c>
      <c r="I1176" t="s">
        <v>624</v>
      </c>
    </row>
    <row r="1177" spans="1:12" x14ac:dyDescent="0.25">
      <c r="I1177" t="s">
        <v>625</v>
      </c>
    </row>
    <row r="1178" spans="1:12" x14ac:dyDescent="0.25">
      <c r="I1178" t="s">
        <v>75</v>
      </c>
    </row>
    <row r="1179" spans="1:12" x14ac:dyDescent="0.25">
      <c r="I1179" t="s">
        <v>400</v>
      </c>
    </row>
    <row r="1181" spans="1:12" x14ac:dyDescent="0.25">
      <c r="I1181" t="s">
        <v>22</v>
      </c>
      <c r="J1181" s="6">
        <v>220000</v>
      </c>
    </row>
    <row r="1183" spans="1:12" x14ac:dyDescent="0.25">
      <c r="A1183" s="1" t="s">
        <v>0</v>
      </c>
      <c r="B1183" s="1" t="s">
        <v>1</v>
      </c>
      <c r="C1183" s="1" t="s">
        <v>2</v>
      </c>
      <c r="D1183" s="1" t="s">
        <v>3</v>
      </c>
      <c r="E1183" s="1" t="s">
        <v>4</v>
      </c>
      <c r="F1183" s="2" t="s">
        <v>5</v>
      </c>
      <c r="G1183" s="3" t="s">
        <v>6</v>
      </c>
      <c r="H1183" s="3" t="s">
        <v>7</v>
      </c>
      <c r="I1183" s="4" t="s">
        <v>8</v>
      </c>
      <c r="J1183" s="2" t="s">
        <v>9</v>
      </c>
      <c r="K1183" s="3" t="s">
        <v>10</v>
      </c>
      <c r="L1183" s="2" t="s">
        <v>9</v>
      </c>
    </row>
    <row r="1184" spans="1:12" x14ac:dyDescent="0.25">
      <c r="A1184" s="5">
        <v>45948</v>
      </c>
      <c r="B1184" t="s">
        <v>31</v>
      </c>
      <c r="C1184" t="s">
        <v>626</v>
      </c>
      <c r="E1184">
        <v>2015</v>
      </c>
      <c r="F1184" s="6">
        <v>83549</v>
      </c>
      <c r="G1184" t="s">
        <v>627</v>
      </c>
      <c r="H1184">
        <v>3028345035</v>
      </c>
      <c r="I1184" t="s">
        <v>16</v>
      </c>
      <c r="J1184" s="6">
        <v>80000</v>
      </c>
    </row>
    <row r="1185" spans="1:12" x14ac:dyDescent="0.25">
      <c r="I1185" t="s">
        <v>123</v>
      </c>
      <c r="J1185" s="6">
        <v>150000</v>
      </c>
    </row>
    <row r="1186" spans="1:12" x14ac:dyDescent="0.25">
      <c r="I1186" t="s">
        <v>382</v>
      </c>
      <c r="J1186" s="6">
        <v>50000</v>
      </c>
    </row>
    <row r="1187" spans="1:12" x14ac:dyDescent="0.25">
      <c r="I1187" t="s">
        <v>553</v>
      </c>
      <c r="J1187" s="6">
        <v>90000</v>
      </c>
    </row>
    <row r="1188" spans="1:12" x14ac:dyDescent="0.25">
      <c r="I1188" t="s">
        <v>167</v>
      </c>
      <c r="J1188" s="6">
        <v>56000</v>
      </c>
    </row>
    <row r="1189" spans="1:12" x14ac:dyDescent="0.25">
      <c r="H1189" s="10"/>
      <c r="I1189" t="s">
        <v>472</v>
      </c>
      <c r="J1189" s="6">
        <v>45000</v>
      </c>
    </row>
    <row r="1190" spans="1:12" x14ac:dyDescent="0.25">
      <c r="I1190" t="s">
        <v>21</v>
      </c>
      <c r="J1190" s="6">
        <v>30000</v>
      </c>
    </row>
    <row r="1191" spans="1:12" x14ac:dyDescent="0.25">
      <c r="I1191" t="s">
        <v>146</v>
      </c>
      <c r="J1191" s="6">
        <v>35000</v>
      </c>
    </row>
    <row r="1192" spans="1:12" x14ac:dyDescent="0.25">
      <c r="I1192" t="s">
        <v>456</v>
      </c>
      <c r="J1192" s="6">
        <v>30000</v>
      </c>
    </row>
    <row r="1194" spans="1:12" x14ac:dyDescent="0.25">
      <c r="I1194" t="s">
        <v>22</v>
      </c>
      <c r="J1194" s="6">
        <f>SUM(J1184:J1193)</f>
        <v>566000</v>
      </c>
    </row>
    <row r="1196" spans="1:12" x14ac:dyDescent="0.25">
      <c r="A1196" s="1" t="s">
        <v>0</v>
      </c>
      <c r="B1196" s="1" t="s">
        <v>1</v>
      </c>
      <c r="C1196" s="1" t="s">
        <v>2</v>
      </c>
      <c r="D1196" s="1" t="s">
        <v>3</v>
      </c>
      <c r="E1196" s="1" t="s">
        <v>4</v>
      </c>
      <c r="F1196" s="2" t="s">
        <v>5</v>
      </c>
      <c r="G1196" s="3" t="s">
        <v>6</v>
      </c>
      <c r="H1196" s="3" t="s">
        <v>7</v>
      </c>
      <c r="I1196" s="4" t="s">
        <v>8</v>
      </c>
      <c r="J1196" s="2" t="s">
        <v>9</v>
      </c>
      <c r="K1196" s="3" t="s">
        <v>10</v>
      </c>
      <c r="L1196" s="2" t="s">
        <v>9</v>
      </c>
    </row>
    <row r="1197" spans="1:12" x14ac:dyDescent="0.25">
      <c r="A1197" s="5">
        <v>45950</v>
      </c>
      <c r="B1197" t="s">
        <v>43</v>
      </c>
      <c r="C1197" t="s">
        <v>628</v>
      </c>
      <c r="D1197" t="s">
        <v>45</v>
      </c>
      <c r="G1197" t="s">
        <v>39</v>
      </c>
      <c r="I1197" t="s">
        <v>629</v>
      </c>
      <c r="J1197" s="6">
        <v>40000</v>
      </c>
    </row>
    <row r="1198" spans="1:12" x14ac:dyDescent="0.25">
      <c r="I1198" t="s">
        <v>630</v>
      </c>
      <c r="J1198" s="6">
        <v>10000</v>
      </c>
    </row>
    <row r="1199" spans="1:12" x14ac:dyDescent="0.25">
      <c r="I1199" t="s">
        <v>194</v>
      </c>
      <c r="J1199" s="6">
        <v>20000</v>
      </c>
    </row>
    <row r="1201" spans="1:12" x14ac:dyDescent="0.25">
      <c r="I1201" t="s">
        <v>22</v>
      </c>
      <c r="J1201" s="6">
        <f>SUM(J1197:J1200)</f>
        <v>70000</v>
      </c>
    </row>
    <row r="1203" spans="1:12" x14ac:dyDescent="0.25">
      <c r="A1203" s="1" t="s">
        <v>0</v>
      </c>
      <c r="B1203" s="1" t="s">
        <v>1</v>
      </c>
      <c r="C1203" s="1" t="s">
        <v>2</v>
      </c>
      <c r="D1203" s="1" t="s">
        <v>3</v>
      </c>
      <c r="E1203" s="1" t="s">
        <v>4</v>
      </c>
      <c r="F1203" s="2" t="s">
        <v>5</v>
      </c>
      <c r="G1203" s="3" t="s">
        <v>6</v>
      </c>
      <c r="H1203" s="3" t="s">
        <v>7</v>
      </c>
      <c r="I1203" s="4" t="s">
        <v>8</v>
      </c>
      <c r="J1203" s="2" t="s">
        <v>9</v>
      </c>
      <c r="K1203" s="3" t="s">
        <v>10</v>
      </c>
      <c r="L1203" s="2" t="s">
        <v>9</v>
      </c>
    </row>
    <row r="1204" spans="1:12" x14ac:dyDescent="0.25">
      <c r="A1204" s="5">
        <v>45950</v>
      </c>
      <c r="B1204" t="s">
        <v>110</v>
      </c>
      <c r="C1204" t="s">
        <v>1246</v>
      </c>
      <c r="D1204" t="s">
        <v>138</v>
      </c>
      <c r="E1204">
        <v>2018</v>
      </c>
      <c r="G1204" t="s">
        <v>1247</v>
      </c>
      <c r="I1204" t="s">
        <v>70</v>
      </c>
    </row>
    <row r="1205" spans="1:12" x14ac:dyDescent="0.25">
      <c r="I1205" t="s">
        <v>34</v>
      </c>
    </row>
    <row r="1206" spans="1:12" x14ac:dyDescent="0.25">
      <c r="I1206" t="s">
        <v>1199</v>
      </c>
    </row>
    <row r="1207" spans="1:12" x14ac:dyDescent="0.25">
      <c r="I1207" t="s">
        <v>108</v>
      </c>
    </row>
    <row r="1209" spans="1:12" x14ac:dyDescent="0.25">
      <c r="I1209" t="s">
        <v>22</v>
      </c>
    </row>
    <row r="1211" spans="1:12" x14ac:dyDescent="0.25">
      <c r="A1211" s="1" t="s">
        <v>0</v>
      </c>
      <c r="B1211" s="1" t="s">
        <v>1</v>
      </c>
      <c r="C1211" s="1" t="s">
        <v>2</v>
      </c>
      <c r="D1211" s="1" t="s">
        <v>3</v>
      </c>
      <c r="E1211" s="1" t="s">
        <v>4</v>
      </c>
      <c r="F1211" s="2" t="s">
        <v>5</v>
      </c>
      <c r="G1211" s="3" t="s">
        <v>6</v>
      </c>
      <c r="H1211" s="3" t="s">
        <v>7</v>
      </c>
      <c r="I1211" s="4" t="s">
        <v>8</v>
      </c>
      <c r="J1211" s="2" t="s">
        <v>9</v>
      </c>
      <c r="K1211" s="3" t="s">
        <v>10</v>
      </c>
      <c r="L1211" s="2" t="s">
        <v>9</v>
      </c>
    </row>
    <row r="1212" spans="1:12" x14ac:dyDescent="0.25">
      <c r="A1212" s="5">
        <v>45950</v>
      </c>
      <c r="B1212" t="s">
        <v>331</v>
      </c>
      <c r="C1212" t="s">
        <v>762</v>
      </c>
      <c r="D1212" t="s">
        <v>45</v>
      </c>
      <c r="E1212">
        <v>2017</v>
      </c>
      <c r="F1212" s="6">
        <v>54073</v>
      </c>
      <c r="G1212" t="s">
        <v>763</v>
      </c>
      <c r="H1212">
        <v>3194053629</v>
      </c>
      <c r="I1212" t="s">
        <v>764</v>
      </c>
    </row>
    <row r="1214" spans="1:12" x14ac:dyDescent="0.25">
      <c r="I1214" t="s">
        <v>22</v>
      </c>
    </row>
    <row r="1216" spans="1:12" x14ac:dyDescent="0.25">
      <c r="A1216" s="1" t="s">
        <v>0</v>
      </c>
      <c r="B1216" s="1" t="s">
        <v>1</v>
      </c>
      <c r="C1216" s="1" t="s">
        <v>2</v>
      </c>
      <c r="D1216" s="1" t="s">
        <v>3</v>
      </c>
      <c r="E1216" s="1" t="s">
        <v>4</v>
      </c>
      <c r="F1216" s="2" t="s">
        <v>5</v>
      </c>
      <c r="G1216" s="3" t="s">
        <v>6</v>
      </c>
      <c r="H1216" s="3" t="s">
        <v>7</v>
      </c>
      <c r="I1216" s="4" t="s">
        <v>8</v>
      </c>
      <c r="J1216" s="2" t="s">
        <v>9</v>
      </c>
      <c r="K1216" s="3" t="s">
        <v>10</v>
      </c>
      <c r="L1216" s="2" t="s">
        <v>9</v>
      </c>
    </row>
    <row r="1217" spans="1:12" x14ac:dyDescent="0.25">
      <c r="A1217" s="5">
        <v>45951</v>
      </c>
      <c r="B1217" t="s">
        <v>31</v>
      </c>
      <c r="C1217" t="s">
        <v>390</v>
      </c>
      <c r="D1217" t="s">
        <v>45</v>
      </c>
      <c r="E1217">
        <v>2014</v>
      </c>
      <c r="F1217" s="6">
        <v>188775</v>
      </c>
      <c r="G1217" t="s">
        <v>635</v>
      </c>
      <c r="I1217" t="s">
        <v>34</v>
      </c>
      <c r="J1217" s="6">
        <v>364000</v>
      </c>
    </row>
    <row r="1218" spans="1:12" x14ac:dyDescent="0.25">
      <c r="I1218" t="s">
        <v>19</v>
      </c>
      <c r="J1218" s="6">
        <v>46000</v>
      </c>
    </row>
    <row r="1219" spans="1:12" x14ac:dyDescent="0.25">
      <c r="I1219" t="s">
        <v>636</v>
      </c>
      <c r="J1219" s="6">
        <v>80000</v>
      </c>
    </row>
    <row r="1221" spans="1:12" x14ac:dyDescent="0.25">
      <c r="I1221" t="s">
        <v>22</v>
      </c>
      <c r="J1221" s="6">
        <f>SUM(J1217:J1220)</f>
        <v>490000</v>
      </c>
    </row>
    <row r="1223" spans="1:12" x14ac:dyDescent="0.25">
      <c r="A1223" s="1" t="s">
        <v>0</v>
      </c>
      <c r="B1223" s="1" t="s">
        <v>1</v>
      </c>
      <c r="C1223" s="1" t="s">
        <v>2</v>
      </c>
      <c r="D1223" s="1" t="s">
        <v>3</v>
      </c>
      <c r="E1223" s="1" t="s">
        <v>4</v>
      </c>
      <c r="F1223" s="2" t="s">
        <v>5</v>
      </c>
      <c r="G1223" s="3" t="s">
        <v>6</v>
      </c>
      <c r="H1223" s="3" t="s">
        <v>7</v>
      </c>
      <c r="I1223" s="4" t="s">
        <v>8</v>
      </c>
      <c r="J1223" s="2" t="s">
        <v>9</v>
      </c>
      <c r="K1223" s="3" t="s">
        <v>10</v>
      </c>
      <c r="L1223" s="2" t="s">
        <v>9</v>
      </c>
    </row>
    <row r="1224" spans="1:12" x14ac:dyDescent="0.25">
      <c r="A1224" s="5">
        <v>45952</v>
      </c>
      <c r="B1224" t="s">
        <v>637</v>
      </c>
      <c r="C1224" t="s">
        <v>638</v>
      </c>
      <c r="D1224" t="s">
        <v>55</v>
      </c>
      <c r="E1224">
        <v>2021</v>
      </c>
      <c r="F1224" s="6">
        <v>42383</v>
      </c>
      <c r="G1224" t="s">
        <v>639</v>
      </c>
      <c r="H1224">
        <v>3185548981</v>
      </c>
      <c r="I1224" t="s">
        <v>640</v>
      </c>
      <c r="J1224" s="6">
        <v>210000</v>
      </c>
    </row>
    <row r="1225" spans="1:12" x14ac:dyDescent="0.25">
      <c r="I1225" t="s">
        <v>61</v>
      </c>
      <c r="J1225" s="6">
        <v>60000</v>
      </c>
    </row>
    <row r="1226" spans="1:12" x14ac:dyDescent="0.25">
      <c r="I1226" t="s">
        <v>553</v>
      </c>
      <c r="J1226" s="6">
        <v>50000</v>
      </c>
    </row>
    <row r="1227" spans="1:12" x14ac:dyDescent="0.25">
      <c r="I1227" t="s">
        <v>146</v>
      </c>
      <c r="J1227" s="6">
        <v>19000</v>
      </c>
    </row>
    <row r="1228" spans="1:12" x14ac:dyDescent="0.25">
      <c r="I1228" t="s">
        <v>472</v>
      </c>
      <c r="J1228" s="6">
        <v>25000</v>
      </c>
    </row>
    <row r="1230" spans="1:12" x14ac:dyDescent="0.25">
      <c r="I1230" t="s">
        <v>22</v>
      </c>
      <c r="J1230" s="6">
        <f>SUM(J1224:J1229)</f>
        <v>364000</v>
      </c>
    </row>
    <row r="1232" spans="1:12" x14ac:dyDescent="0.25">
      <c r="A1232" s="1" t="s">
        <v>0</v>
      </c>
      <c r="B1232" s="1" t="s">
        <v>1</v>
      </c>
      <c r="C1232" s="1" t="s">
        <v>2</v>
      </c>
      <c r="D1232" s="1" t="s">
        <v>3</v>
      </c>
      <c r="E1232" s="1" t="s">
        <v>4</v>
      </c>
      <c r="F1232" s="2" t="s">
        <v>5</v>
      </c>
      <c r="G1232" s="3" t="s">
        <v>6</v>
      </c>
      <c r="H1232" s="3" t="s">
        <v>7</v>
      </c>
      <c r="I1232" s="4" t="s">
        <v>8</v>
      </c>
      <c r="J1232" s="2" t="s">
        <v>9</v>
      </c>
      <c r="K1232" s="3" t="s">
        <v>10</v>
      </c>
      <c r="L1232" s="2" t="s">
        <v>9</v>
      </c>
    </row>
    <row r="1233" spans="1:12" x14ac:dyDescent="0.25">
      <c r="A1233" s="5">
        <v>45953</v>
      </c>
      <c r="B1233" t="s">
        <v>110</v>
      </c>
      <c r="C1233" t="s">
        <v>641</v>
      </c>
      <c r="D1233" t="s">
        <v>25</v>
      </c>
      <c r="F1233" s="6">
        <v>77923</v>
      </c>
      <c r="G1233" t="s">
        <v>642</v>
      </c>
      <c r="H1233">
        <v>3103022859</v>
      </c>
      <c r="I1233" t="s">
        <v>643</v>
      </c>
      <c r="J1233" s="6">
        <v>100000</v>
      </c>
    </row>
    <row r="1234" spans="1:12" x14ac:dyDescent="0.25">
      <c r="I1234" t="s">
        <v>61</v>
      </c>
      <c r="J1234" s="6">
        <v>80000</v>
      </c>
    </row>
    <row r="1236" spans="1:12" x14ac:dyDescent="0.25">
      <c r="I1236" t="s">
        <v>22</v>
      </c>
      <c r="J1236" s="6">
        <f>SUM(J1233:J1235)</f>
        <v>180000</v>
      </c>
    </row>
    <row r="1238" spans="1:12" x14ac:dyDescent="0.25">
      <c r="A1238" s="1" t="s">
        <v>0</v>
      </c>
      <c r="B1238" s="1" t="s">
        <v>1</v>
      </c>
      <c r="C1238" s="1" t="s">
        <v>2</v>
      </c>
      <c r="D1238" s="1" t="s">
        <v>3</v>
      </c>
      <c r="E1238" s="1" t="s">
        <v>4</v>
      </c>
      <c r="F1238" s="2" t="s">
        <v>5</v>
      </c>
      <c r="G1238" s="3" t="s">
        <v>6</v>
      </c>
      <c r="H1238" s="3" t="s">
        <v>7</v>
      </c>
      <c r="I1238" s="4" t="s">
        <v>8</v>
      </c>
      <c r="J1238" s="2" t="s">
        <v>9</v>
      </c>
      <c r="K1238" s="3" t="s">
        <v>10</v>
      </c>
      <c r="L1238" s="2" t="s">
        <v>9</v>
      </c>
    </row>
    <row r="1239" spans="1:12" x14ac:dyDescent="0.25">
      <c r="A1239" s="5">
        <v>45953</v>
      </c>
      <c r="B1239" t="s">
        <v>78</v>
      </c>
      <c r="C1239" t="s">
        <v>644</v>
      </c>
      <c r="D1239" t="s">
        <v>248</v>
      </c>
      <c r="I1239" t="s">
        <v>464</v>
      </c>
      <c r="J1239" s="6">
        <v>350000</v>
      </c>
    </row>
    <row r="1240" spans="1:12" x14ac:dyDescent="0.25">
      <c r="I1240" t="s">
        <v>645</v>
      </c>
    </row>
    <row r="1241" spans="1:12" x14ac:dyDescent="0.25">
      <c r="I1241" t="s">
        <v>646</v>
      </c>
      <c r="J1241" s="6">
        <v>150000</v>
      </c>
    </row>
    <row r="1242" spans="1:12" x14ac:dyDescent="0.25">
      <c r="I1242" t="s">
        <v>151</v>
      </c>
      <c r="J1242" s="6">
        <v>80000</v>
      </c>
    </row>
    <row r="1243" spans="1:12" x14ac:dyDescent="0.25">
      <c r="I1243" t="s">
        <v>21</v>
      </c>
      <c r="J1243" s="6">
        <v>25000</v>
      </c>
    </row>
    <row r="1245" spans="1:12" x14ac:dyDescent="0.25">
      <c r="I1245" t="s">
        <v>22</v>
      </c>
      <c r="J1245" s="6">
        <f>SUM(J1239:J1244)</f>
        <v>605000</v>
      </c>
    </row>
    <row r="1247" spans="1:12" x14ac:dyDescent="0.25">
      <c r="A1247" s="1" t="s">
        <v>0</v>
      </c>
      <c r="B1247" s="1" t="s">
        <v>1</v>
      </c>
      <c r="C1247" s="1" t="s">
        <v>2</v>
      </c>
      <c r="D1247" s="1" t="s">
        <v>3</v>
      </c>
      <c r="E1247" s="1" t="s">
        <v>4</v>
      </c>
      <c r="F1247" s="2" t="s">
        <v>5</v>
      </c>
      <c r="G1247" s="3" t="s">
        <v>6</v>
      </c>
      <c r="H1247" s="3" t="s">
        <v>7</v>
      </c>
      <c r="I1247" s="4" t="s">
        <v>8</v>
      </c>
      <c r="J1247" s="2" t="s">
        <v>9</v>
      </c>
      <c r="K1247" s="3" t="s">
        <v>10</v>
      </c>
      <c r="L1247" s="2" t="s">
        <v>9</v>
      </c>
    </row>
    <row r="1248" spans="1:12" x14ac:dyDescent="0.25">
      <c r="A1248" s="5">
        <v>45953</v>
      </c>
      <c r="B1248" t="s">
        <v>653</v>
      </c>
      <c r="C1248" t="s">
        <v>654</v>
      </c>
      <c r="D1248" t="s">
        <v>498</v>
      </c>
      <c r="E1248">
        <v>2018</v>
      </c>
      <c r="F1248" s="6">
        <v>26353</v>
      </c>
      <c r="G1248" t="s">
        <v>655</v>
      </c>
      <c r="H1248">
        <v>3166790028</v>
      </c>
      <c r="I1248" t="s">
        <v>656</v>
      </c>
    </row>
    <row r="1250" spans="1:12" x14ac:dyDescent="0.25">
      <c r="I1250" t="s">
        <v>22</v>
      </c>
      <c r="J1250" s="6">
        <v>120000</v>
      </c>
    </row>
    <row r="1252" spans="1:12" x14ac:dyDescent="0.25">
      <c r="A1252" s="1" t="s">
        <v>0</v>
      </c>
      <c r="B1252" s="1" t="s">
        <v>1</v>
      </c>
      <c r="C1252" s="1" t="s">
        <v>2</v>
      </c>
      <c r="D1252" s="1" t="s">
        <v>3</v>
      </c>
      <c r="E1252" s="1" t="s">
        <v>4</v>
      </c>
      <c r="F1252" s="2" t="s">
        <v>5</v>
      </c>
      <c r="G1252" s="3" t="s">
        <v>6</v>
      </c>
      <c r="H1252" s="3" t="s">
        <v>7</v>
      </c>
      <c r="I1252" s="4" t="s">
        <v>8</v>
      </c>
      <c r="J1252" s="2" t="s">
        <v>9</v>
      </c>
      <c r="K1252" s="3" t="s">
        <v>10</v>
      </c>
      <c r="L1252" s="2" t="s">
        <v>9</v>
      </c>
    </row>
    <row r="1253" spans="1:12" x14ac:dyDescent="0.25">
      <c r="A1253" s="5">
        <v>45954</v>
      </c>
      <c r="B1253" t="s">
        <v>190</v>
      </c>
      <c r="C1253" t="s">
        <v>191</v>
      </c>
      <c r="D1253" t="s">
        <v>25</v>
      </c>
      <c r="E1253">
        <v>2022</v>
      </c>
      <c r="F1253" s="6">
        <v>51384</v>
      </c>
      <c r="G1253" t="s">
        <v>657</v>
      </c>
      <c r="H1253">
        <v>3222820415</v>
      </c>
      <c r="I1253" t="s">
        <v>658</v>
      </c>
      <c r="J1253" s="6">
        <v>250000</v>
      </c>
    </row>
    <row r="1254" spans="1:12" x14ac:dyDescent="0.25">
      <c r="I1254" t="s">
        <v>34</v>
      </c>
      <c r="J1254" s="6">
        <v>77400</v>
      </c>
    </row>
    <row r="1255" spans="1:12" x14ac:dyDescent="0.25">
      <c r="I1255" t="s">
        <v>19</v>
      </c>
      <c r="J1255" s="6">
        <v>20000</v>
      </c>
    </row>
    <row r="1256" spans="1:12" x14ac:dyDescent="0.25">
      <c r="I1256" t="s">
        <v>61</v>
      </c>
      <c r="J1256" s="6">
        <v>80000</v>
      </c>
    </row>
    <row r="1257" spans="1:12" x14ac:dyDescent="0.25">
      <c r="I1257" t="s">
        <v>659</v>
      </c>
      <c r="J1257" s="6">
        <v>18000</v>
      </c>
    </row>
    <row r="1259" spans="1:12" x14ac:dyDescent="0.25">
      <c r="I1259" t="s">
        <v>22</v>
      </c>
      <c r="J1259" s="6">
        <f>SUM(J1253:J1258)</f>
        <v>445400</v>
      </c>
    </row>
    <row r="1261" spans="1:12" x14ac:dyDescent="0.25">
      <c r="A1261" s="1" t="s">
        <v>0</v>
      </c>
      <c r="B1261" s="1" t="s">
        <v>1</v>
      </c>
      <c r="C1261" s="1" t="s">
        <v>2</v>
      </c>
      <c r="D1261" s="1" t="s">
        <v>3</v>
      </c>
      <c r="E1261" s="1" t="s">
        <v>4</v>
      </c>
      <c r="F1261" s="2" t="s">
        <v>5</v>
      </c>
      <c r="G1261" s="3" t="s">
        <v>6</v>
      </c>
      <c r="H1261" s="3" t="s">
        <v>7</v>
      </c>
      <c r="I1261" s="4" t="s">
        <v>8</v>
      </c>
      <c r="J1261" s="2" t="s">
        <v>9</v>
      </c>
      <c r="K1261" s="3" t="s">
        <v>10</v>
      </c>
      <c r="L1261" s="2" t="s">
        <v>9</v>
      </c>
    </row>
    <row r="1262" spans="1:12" x14ac:dyDescent="0.25">
      <c r="A1262" s="5">
        <v>45954</v>
      </c>
      <c r="B1262" t="s">
        <v>169</v>
      </c>
      <c r="C1262" t="s">
        <v>660</v>
      </c>
      <c r="D1262" t="s">
        <v>138</v>
      </c>
      <c r="E1262">
        <v>2022</v>
      </c>
      <c r="F1262" s="6">
        <v>28713</v>
      </c>
      <c r="G1262" t="s">
        <v>661</v>
      </c>
      <c r="I1262" t="s">
        <v>236</v>
      </c>
      <c r="J1262" s="6">
        <v>150000</v>
      </c>
    </row>
    <row r="1263" spans="1:12" x14ac:dyDescent="0.25">
      <c r="I1263" t="s">
        <v>662</v>
      </c>
      <c r="J1263" s="6">
        <v>50000</v>
      </c>
    </row>
    <row r="1264" spans="1:12" x14ac:dyDescent="0.25">
      <c r="I1264" t="s">
        <v>21</v>
      </c>
      <c r="J1264" s="6">
        <v>25000</v>
      </c>
    </row>
    <row r="1266" spans="1:12" x14ac:dyDescent="0.25">
      <c r="I1266" t="s">
        <v>22</v>
      </c>
      <c r="J1266" s="6">
        <f>SUM(J1262:J1265)</f>
        <v>225000</v>
      </c>
    </row>
    <row r="1268" spans="1:12" x14ac:dyDescent="0.25">
      <c r="A1268" s="1" t="s">
        <v>0</v>
      </c>
      <c r="B1268" s="1" t="s">
        <v>1</v>
      </c>
      <c r="C1268" s="1" t="s">
        <v>2</v>
      </c>
      <c r="D1268" s="1" t="s">
        <v>3</v>
      </c>
      <c r="E1268" s="1" t="s">
        <v>4</v>
      </c>
      <c r="F1268" s="2" t="s">
        <v>5</v>
      </c>
      <c r="G1268" s="3" t="s">
        <v>6</v>
      </c>
      <c r="H1268" s="3" t="s">
        <v>7</v>
      </c>
      <c r="I1268" s="4" t="s">
        <v>8</v>
      </c>
      <c r="J1268" s="2" t="s">
        <v>9</v>
      </c>
      <c r="K1268" s="3" t="s">
        <v>10</v>
      </c>
      <c r="L1268" s="2" t="s">
        <v>9</v>
      </c>
    </row>
    <row r="1269" spans="1:12" x14ac:dyDescent="0.25">
      <c r="A1269" s="5">
        <v>45954</v>
      </c>
      <c r="B1269" t="s">
        <v>31</v>
      </c>
      <c r="C1269" t="s">
        <v>663</v>
      </c>
      <c r="D1269" t="s">
        <v>25</v>
      </c>
      <c r="F1269" s="6">
        <v>53076</v>
      </c>
      <c r="G1269" t="s">
        <v>664</v>
      </c>
      <c r="I1269" t="s">
        <v>70</v>
      </c>
      <c r="J1269" s="6">
        <v>390000</v>
      </c>
    </row>
    <row r="1270" spans="1:12" x14ac:dyDescent="0.25">
      <c r="I1270" t="s">
        <v>403</v>
      </c>
      <c r="J1270" s="6">
        <v>1442000</v>
      </c>
    </row>
    <row r="1271" spans="1:12" x14ac:dyDescent="0.25">
      <c r="I1271" t="s">
        <v>122</v>
      </c>
      <c r="J1271" s="6">
        <v>150000</v>
      </c>
    </row>
    <row r="1272" spans="1:12" x14ac:dyDescent="0.25">
      <c r="I1272" t="s">
        <v>50</v>
      </c>
      <c r="J1272" s="6">
        <v>120000</v>
      </c>
    </row>
    <row r="1273" spans="1:12" x14ac:dyDescent="0.25">
      <c r="I1273" t="s">
        <v>34</v>
      </c>
      <c r="J1273" s="6">
        <v>200000</v>
      </c>
    </row>
    <row r="1274" spans="1:12" x14ac:dyDescent="0.25">
      <c r="I1274" t="s">
        <v>19</v>
      </c>
      <c r="J1274" s="6">
        <v>46000</v>
      </c>
    </row>
    <row r="1276" spans="1:12" x14ac:dyDescent="0.25">
      <c r="I1276" t="s">
        <v>665</v>
      </c>
      <c r="J1276" s="6">
        <f>SUM(J1269:J1275)</f>
        <v>2348000</v>
      </c>
    </row>
    <row r="1278" spans="1:12" x14ac:dyDescent="0.25">
      <c r="A1278" s="1" t="s">
        <v>0</v>
      </c>
      <c r="B1278" s="1" t="s">
        <v>1</v>
      </c>
      <c r="C1278" s="1" t="s">
        <v>2</v>
      </c>
      <c r="D1278" s="1" t="s">
        <v>3</v>
      </c>
      <c r="E1278" s="1" t="s">
        <v>4</v>
      </c>
      <c r="F1278" s="2" t="s">
        <v>5</v>
      </c>
      <c r="G1278" s="3" t="s">
        <v>6</v>
      </c>
      <c r="H1278" s="3" t="s">
        <v>7</v>
      </c>
      <c r="I1278" s="4" t="s">
        <v>8</v>
      </c>
      <c r="J1278" s="2" t="s">
        <v>9</v>
      </c>
      <c r="K1278" s="3" t="s">
        <v>10</v>
      </c>
      <c r="L1278" s="2" t="s">
        <v>9</v>
      </c>
    </row>
    <row r="1279" spans="1:12" x14ac:dyDescent="0.25">
      <c r="A1279" s="5">
        <v>45954</v>
      </c>
      <c r="B1279" t="s">
        <v>251</v>
      </c>
      <c r="C1279" t="s">
        <v>692</v>
      </c>
      <c r="D1279" t="s">
        <v>12</v>
      </c>
      <c r="E1279">
        <v>2019</v>
      </c>
      <c r="G1279" t="s">
        <v>693</v>
      </c>
      <c r="I1279" t="s">
        <v>694</v>
      </c>
    </row>
    <row r="1280" spans="1:12" x14ac:dyDescent="0.25">
      <c r="I1280" t="s">
        <v>695</v>
      </c>
    </row>
    <row r="1281" spans="1:12" x14ac:dyDescent="0.25">
      <c r="I1281" t="s">
        <v>696</v>
      </c>
    </row>
    <row r="1282" spans="1:12" x14ac:dyDescent="0.25">
      <c r="I1282" t="s">
        <v>21</v>
      </c>
    </row>
    <row r="1283" spans="1:12" x14ac:dyDescent="0.25">
      <c r="I1283" t="s">
        <v>697</v>
      </c>
    </row>
    <row r="1285" spans="1:12" x14ac:dyDescent="0.25">
      <c r="I1285" t="s">
        <v>22</v>
      </c>
    </row>
    <row r="1287" spans="1:12" x14ac:dyDescent="0.25">
      <c r="A1287" s="1" t="s">
        <v>0</v>
      </c>
      <c r="B1287" s="1" t="s">
        <v>1</v>
      </c>
      <c r="C1287" s="1" t="s">
        <v>2</v>
      </c>
      <c r="D1287" s="1" t="s">
        <v>3</v>
      </c>
      <c r="E1287" s="1" t="s">
        <v>4</v>
      </c>
      <c r="F1287" s="2" t="s">
        <v>5</v>
      </c>
      <c r="G1287" s="3" t="s">
        <v>6</v>
      </c>
      <c r="H1287" s="3" t="s">
        <v>7</v>
      </c>
      <c r="I1287" s="4" t="s">
        <v>8</v>
      </c>
      <c r="J1287" s="2" t="s">
        <v>9</v>
      </c>
      <c r="K1287" s="3" t="s">
        <v>10</v>
      </c>
      <c r="L1287" s="2" t="s">
        <v>9</v>
      </c>
    </row>
    <row r="1288" spans="1:12" x14ac:dyDescent="0.25">
      <c r="A1288" s="5">
        <v>45955</v>
      </c>
      <c r="B1288" t="s">
        <v>647</v>
      </c>
      <c r="C1288" t="s">
        <v>648</v>
      </c>
      <c r="D1288" t="s">
        <v>12</v>
      </c>
      <c r="I1288" t="s">
        <v>649</v>
      </c>
      <c r="J1288" s="6">
        <v>160000</v>
      </c>
    </row>
    <row r="1289" spans="1:12" x14ac:dyDescent="0.25">
      <c r="I1289" t="s">
        <v>107</v>
      </c>
      <c r="J1289" s="6">
        <v>130000</v>
      </c>
    </row>
    <row r="1290" spans="1:12" x14ac:dyDescent="0.25">
      <c r="I1290" t="s">
        <v>61</v>
      </c>
      <c r="J1290" s="6">
        <v>120000</v>
      </c>
    </row>
    <row r="1292" spans="1:12" x14ac:dyDescent="0.25">
      <c r="I1292" t="s">
        <v>22</v>
      </c>
      <c r="J1292" s="6">
        <f>SUM(J1288:J1291)</f>
        <v>410000</v>
      </c>
    </row>
    <row r="1294" spans="1:12" x14ac:dyDescent="0.25">
      <c r="A1294" s="1" t="s">
        <v>0</v>
      </c>
      <c r="B1294" s="1" t="s">
        <v>1</v>
      </c>
      <c r="C1294" s="1" t="s">
        <v>2</v>
      </c>
      <c r="D1294" s="1" t="s">
        <v>3</v>
      </c>
      <c r="E1294" s="1" t="s">
        <v>4</v>
      </c>
      <c r="F1294" s="2" t="s">
        <v>5</v>
      </c>
      <c r="G1294" s="3" t="s">
        <v>6</v>
      </c>
      <c r="H1294" s="3" t="s">
        <v>7</v>
      </c>
      <c r="I1294" s="4" t="s">
        <v>8</v>
      </c>
      <c r="J1294" s="2" t="s">
        <v>9</v>
      </c>
      <c r="K1294" s="3" t="s">
        <v>10</v>
      </c>
      <c r="L1294" s="2" t="s">
        <v>9</v>
      </c>
    </row>
    <row r="1295" spans="1:12" x14ac:dyDescent="0.25">
      <c r="A1295" s="5">
        <v>45955</v>
      </c>
      <c r="B1295" t="s">
        <v>650</v>
      </c>
      <c r="C1295" t="s">
        <v>651</v>
      </c>
      <c r="D1295" t="s">
        <v>25</v>
      </c>
      <c r="E1295">
        <v>2024</v>
      </c>
      <c r="F1295" s="6">
        <v>32796</v>
      </c>
      <c r="G1295" t="s">
        <v>652</v>
      </c>
      <c r="H1295">
        <v>313403232</v>
      </c>
      <c r="I1295" t="s">
        <v>464</v>
      </c>
      <c r="J1295" s="6">
        <v>250000</v>
      </c>
    </row>
    <row r="1296" spans="1:12" x14ac:dyDescent="0.25">
      <c r="I1296" t="s">
        <v>465</v>
      </c>
      <c r="J1296" s="6">
        <v>15000</v>
      </c>
    </row>
    <row r="1297" spans="1:12" x14ac:dyDescent="0.25">
      <c r="I1297" t="s">
        <v>21</v>
      </c>
      <c r="J1297" s="6">
        <v>25000</v>
      </c>
    </row>
    <row r="1298" spans="1:12" x14ac:dyDescent="0.25">
      <c r="I1298" t="s">
        <v>61</v>
      </c>
      <c r="J1298" s="6">
        <v>80000</v>
      </c>
    </row>
    <row r="1300" spans="1:12" x14ac:dyDescent="0.25">
      <c r="I1300" t="s">
        <v>22</v>
      </c>
      <c r="J1300" s="6">
        <f>SUM(J1295:J1299)</f>
        <v>370000</v>
      </c>
    </row>
    <row r="1302" spans="1:12" x14ac:dyDescent="0.25">
      <c r="A1302" s="1" t="s">
        <v>0</v>
      </c>
      <c r="B1302" s="1" t="s">
        <v>1</v>
      </c>
      <c r="C1302" s="1" t="s">
        <v>2</v>
      </c>
      <c r="D1302" s="1" t="s">
        <v>3</v>
      </c>
      <c r="E1302" s="1" t="s">
        <v>4</v>
      </c>
      <c r="F1302" s="2" t="s">
        <v>5</v>
      </c>
      <c r="G1302" s="3" t="s">
        <v>6</v>
      </c>
      <c r="H1302" s="3" t="s">
        <v>7</v>
      </c>
      <c r="I1302" s="4" t="s">
        <v>8</v>
      </c>
      <c r="J1302" s="2" t="s">
        <v>9</v>
      </c>
      <c r="K1302" s="3" t="s">
        <v>10</v>
      </c>
      <c r="L1302" s="2" t="s">
        <v>9</v>
      </c>
    </row>
    <row r="1303" spans="1:12" x14ac:dyDescent="0.25">
      <c r="A1303" s="5">
        <v>45957</v>
      </c>
      <c r="B1303" t="s">
        <v>650</v>
      </c>
      <c r="C1303" t="s">
        <v>666</v>
      </c>
      <c r="D1303" t="s">
        <v>12</v>
      </c>
      <c r="F1303" s="6">
        <v>8531</v>
      </c>
      <c r="G1303" t="s">
        <v>667</v>
      </c>
      <c r="I1303" t="s">
        <v>668</v>
      </c>
      <c r="J1303" s="6">
        <v>40000</v>
      </c>
    </row>
    <row r="1304" spans="1:12" x14ac:dyDescent="0.25">
      <c r="I1304" t="s">
        <v>301</v>
      </c>
      <c r="J1304" s="6">
        <v>150000</v>
      </c>
    </row>
    <row r="1305" spans="1:12" x14ac:dyDescent="0.25">
      <c r="I1305" t="s">
        <v>669</v>
      </c>
      <c r="J1305" s="6">
        <v>60000</v>
      </c>
    </row>
    <row r="1306" spans="1:12" x14ac:dyDescent="0.25">
      <c r="I1306" t="s">
        <v>70</v>
      </c>
      <c r="J1306" s="6">
        <v>250000</v>
      </c>
    </row>
    <row r="1307" spans="1:12" x14ac:dyDescent="0.25">
      <c r="I1307" t="s">
        <v>34</v>
      </c>
      <c r="J1307" s="6">
        <v>60000</v>
      </c>
    </row>
    <row r="1308" spans="1:12" x14ac:dyDescent="0.25">
      <c r="I1308" t="s">
        <v>19</v>
      </c>
      <c r="J1308" s="6">
        <v>18000</v>
      </c>
    </row>
    <row r="1309" spans="1:12" x14ac:dyDescent="0.25">
      <c r="I1309" t="s">
        <v>198</v>
      </c>
      <c r="J1309" s="6">
        <v>35000</v>
      </c>
    </row>
    <row r="1310" spans="1:12" x14ac:dyDescent="0.25">
      <c r="I1310" t="s">
        <v>670</v>
      </c>
      <c r="J1310" s="6">
        <v>60000</v>
      </c>
    </row>
    <row r="1311" spans="1:12" x14ac:dyDescent="0.25">
      <c r="I1311" t="s">
        <v>671</v>
      </c>
      <c r="J1311" s="6">
        <v>20000</v>
      </c>
    </row>
    <row r="1312" spans="1:12" x14ac:dyDescent="0.25">
      <c r="I1312" t="s">
        <v>672</v>
      </c>
      <c r="J1312" s="6">
        <v>120000</v>
      </c>
    </row>
    <row r="1313" spans="1:12" x14ac:dyDescent="0.25">
      <c r="I1313" t="s">
        <v>673</v>
      </c>
      <c r="J1313" s="6">
        <v>250000</v>
      </c>
    </row>
    <row r="1314" spans="1:12" x14ac:dyDescent="0.25">
      <c r="I1314" t="s">
        <v>674</v>
      </c>
      <c r="J1314" s="6">
        <v>40000</v>
      </c>
    </row>
    <row r="1315" spans="1:12" x14ac:dyDescent="0.25">
      <c r="I1315" t="s">
        <v>675</v>
      </c>
      <c r="J1315" s="6">
        <v>120000</v>
      </c>
    </row>
    <row r="1317" spans="1:12" x14ac:dyDescent="0.25">
      <c r="I1317" t="s">
        <v>22</v>
      </c>
      <c r="J1317" s="6">
        <f>SUM(J1303:J1316)</f>
        <v>1223000</v>
      </c>
    </row>
    <row r="1319" spans="1:12" x14ac:dyDescent="0.25">
      <c r="A1319" s="1" t="s">
        <v>0</v>
      </c>
      <c r="B1319" s="1" t="s">
        <v>1</v>
      </c>
      <c r="C1319" s="1" t="s">
        <v>2</v>
      </c>
      <c r="D1319" s="1" t="s">
        <v>3</v>
      </c>
      <c r="E1319" s="1" t="s">
        <v>4</v>
      </c>
      <c r="F1319" s="2" t="s">
        <v>5</v>
      </c>
      <c r="G1319" s="3" t="s">
        <v>6</v>
      </c>
      <c r="H1319" s="3" t="s">
        <v>7</v>
      </c>
      <c r="I1319" s="4" t="s">
        <v>8</v>
      </c>
      <c r="J1319" s="2" t="s">
        <v>9</v>
      </c>
      <c r="K1319" s="3" t="s">
        <v>10</v>
      </c>
      <c r="L1319" s="2" t="s">
        <v>9</v>
      </c>
    </row>
    <row r="1320" spans="1:12" x14ac:dyDescent="0.25">
      <c r="A1320" s="5">
        <v>45957</v>
      </c>
      <c r="B1320" t="s">
        <v>31</v>
      </c>
      <c r="C1320" t="s">
        <v>676</v>
      </c>
      <c r="D1320" t="s">
        <v>25</v>
      </c>
      <c r="F1320" s="6">
        <v>16307</v>
      </c>
      <c r="I1320" t="s">
        <v>677</v>
      </c>
      <c r="J1320" s="6">
        <v>40000</v>
      </c>
    </row>
    <row r="1321" spans="1:12" x14ac:dyDescent="0.25">
      <c r="I1321" t="s">
        <v>50</v>
      </c>
      <c r="J1321" s="6">
        <v>120000</v>
      </c>
    </row>
    <row r="1322" spans="1:12" x14ac:dyDescent="0.25">
      <c r="I1322" t="s">
        <v>678</v>
      </c>
      <c r="J1322" s="6">
        <v>200000</v>
      </c>
    </row>
    <row r="1323" spans="1:12" x14ac:dyDescent="0.25">
      <c r="I1323" t="s">
        <v>61</v>
      </c>
      <c r="J1323" s="6">
        <v>40000</v>
      </c>
    </row>
    <row r="1324" spans="1:12" x14ac:dyDescent="0.25">
      <c r="I1324" t="s">
        <v>255</v>
      </c>
      <c r="J1324" s="6">
        <v>25000</v>
      </c>
    </row>
    <row r="1326" spans="1:12" x14ac:dyDescent="0.25">
      <c r="I1326" t="s">
        <v>22</v>
      </c>
      <c r="J1326" s="6">
        <f>SUM(J1320:J1325)</f>
        <v>425000</v>
      </c>
    </row>
    <row r="1328" spans="1:12" x14ac:dyDescent="0.25">
      <c r="A1328" s="1" t="s">
        <v>0</v>
      </c>
      <c r="B1328" s="1" t="s">
        <v>1</v>
      </c>
      <c r="C1328" s="1" t="s">
        <v>2</v>
      </c>
      <c r="D1328" s="1" t="s">
        <v>3</v>
      </c>
      <c r="E1328" s="1" t="s">
        <v>4</v>
      </c>
      <c r="F1328" s="2" t="s">
        <v>5</v>
      </c>
      <c r="G1328" s="3" t="s">
        <v>6</v>
      </c>
      <c r="H1328" s="3" t="s">
        <v>7</v>
      </c>
      <c r="I1328" s="4" t="s">
        <v>8</v>
      </c>
      <c r="J1328" s="2" t="s">
        <v>9</v>
      </c>
      <c r="K1328" s="3" t="s">
        <v>10</v>
      </c>
      <c r="L1328" s="2" t="s">
        <v>9</v>
      </c>
    </row>
    <row r="1329" spans="1:12" x14ac:dyDescent="0.25">
      <c r="A1329" s="5">
        <v>45957</v>
      </c>
      <c r="B1329" t="s">
        <v>679</v>
      </c>
      <c r="C1329" t="s">
        <v>680</v>
      </c>
      <c r="D1329" t="s">
        <v>138</v>
      </c>
      <c r="F1329" s="6">
        <v>68112</v>
      </c>
      <c r="I1329" t="s">
        <v>34</v>
      </c>
      <c r="J1329" s="6">
        <v>200000</v>
      </c>
    </row>
    <row r="1330" spans="1:12" x14ac:dyDescent="0.25">
      <c r="I1330" t="s">
        <v>19</v>
      </c>
      <c r="J1330" s="6">
        <v>46000</v>
      </c>
    </row>
    <row r="1331" spans="1:12" x14ac:dyDescent="0.25">
      <c r="I1331" t="s">
        <v>61</v>
      </c>
      <c r="J1331" s="6">
        <v>40000</v>
      </c>
    </row>
    <row r="1332" spans="1:12" x14ac:dyDescent="0.25">
      <c r="I1332" t="s">
        <v>208</v>
      </c>
      <c r="J1332" s="6">
        <v>15000</v>
      </c>
    </row>
    <row r="1334" spans="1:12" x14ac:dyDescent="0.25">
      <c r="I1334" t="s">
        <v>22</v>
      </c>
      <c r="J1334" s="6">
        <f>SUM(J1329:J1333)</f>
        <v>301000</v>
      </c>
    </row>
    <row r="1336" spans="1:12" x14ac:dyDescent="0.25">
      <c r="A1336" s="1" t="s">
        <v>0</v>
      </c>
      <c r="B1336" s="1" t="s">
        <v>1</v>
      </c>
      <c r="C1336" s="1" t="s">
        <v>2</v>
      </c>
      <c r="D1336" s="1" t="s">
        <v>3</v>
      </c>
      <c r="E1336" s="1" t="s">
        <v>4</v>
      </c>
      <c r="F1336" s="2" t="s">
        <v>5</v>
      </c>
      <c r="G1336" s="3" t="s">
        <v>6</v>
      </c>
      <c r="H1336" s="3" t="s">
        <v>7</v>
      </c>
      <c r="I1336" s="4" t="s">
        <v>8</v>
      </c>
      <c r="J1336" s="2" t="s">
        <v>9</v>
      </c>
      <c r="K1336" s="3" t="s">
        <v>10</v>
      </c>
      <c r="L1336" s="2" t="s">
        <v>9</v>
      </c>
    </row>
    <row r="1337" spans="1:12" x14ac:dyDescent="0.25">
      <c r="A1337" s="5">
        <v>45957</v>
      </c>
      <c r="B1337" t="s">
        <v>1258</v>
      </c>
      <c r="C1337" t="s">
        <v>1259</v>
      </c>
      <c r="D1337" t="s">
        <v>12</v>
      </c>
      <c r="E1337">
        <v>2016</v>
      </c>
      <c r="F1337" s="6">
        <v>76527</v>
      </c>
      <c r="G1337" t="s">
        <v>1260</v>
      </c>
      <c r="I1337" t="s">
        <v>479</v>
      </c>
      <c r="J1337" s="6">
        <v>650000</v>
      </c>
    </row>
    <row r="1338" spans="1:12" x14ac:dyDescent="0.25">
      <c r="I1338" t="s">
        <v>224</v>
      </c>
      <c r="J1338" s="6">
        <v>80000</v>
      </c>
    </row>
    <row r="1339" spans="1:12" x14ac:dyDescent="0.25">
      <c r="I1339" t="s">
        <v>19</v>
      </c>
      <c r="J1339" s="6">
        <v>64000</v>
      </c>
    </row>
    <row r="1340" spans="1:12" x14ac:dyDescent="0.25">
      <c r="I1340" t="s">
        <v>107</v>
      </c>
      <c r="J1340" s="6">
        <v>125000</v>
      </c>
    </row>
    <row r="1341" spans="1:12" x14ac:dyDescent="0.25">
      <c r="I1341" t="s">
        <v>70</v>
      </c>
      <c r="J1341" s="6">
        <v>390000</v>
      </c>
    </row>
    <row r="1342" spans="1:12" x14ac:dyDescent="0.25">
      <c r="I1342" t="s">
        <v>1253</v>
      </c>
      <c r="J1342" s="6">
        <v>174000</v>
      </c>
    </row>
    <row r="1343" spans="1:12" x14ac:dyDescent="0.25">
      <c r="I1343" t="s">
        <v>1261</v>
      </c>
      <c r="J1343" s="6">
        <v>80000</v>
      </c>
    </row>
    <row r="1344" spans="1:12" x14ac:dyDescent="0.25">
      <c r="I1344" t="s">
        <v>103</v>
      </c>
      <c r="J1344" s="6">
        <v>1500000</v>
      </c>
    </row>
    <row r="1345" spans="1:12" x14ac:dyDescent="0.25">
      <c r="I1345" t="s">
        <v>21</v>
      </c>
      <c r="J1345" s="6">
        <v>25000</v>
      </c>
    </row>
    <row r="1347" spans="1:12" x14ac:dyDescent="0.25">
      <c r="I1347" t="s">
        <v>22</v>
      </c>
      <c r="J1347" s="6">
        <f>SUM(J1337:J1346)</f>
        <v>3088000</v>
      </c>
    </row>
    <row r="1349" spans="1:12" x14ac:dyDescent="0.25">
      <c r="A1349" s="1" t="s">
        <v>0</v>
      </c>
      <c r="B1349" s="1" t="s">
        <v>1</v>
      </c>
      <c r="C1349" s="1" t="s">
        <v>2</v>
      </c>
      <c r="D1349" s="1" t="s">
        <v>3</v>
      </c>
      <c r="E1349" s="1" t="s">
        <v>4</v>
      </c>
      <c r="F1349" s="2" t="s">
        <v>5</v>
      </c>
      <c r="G1349" s="3" t="s">
        <v>6</v>
      </c>
      <c r="H1349" s="3" t="s">
        <v>7</v>
      </c>
      <c r="I1349" s="4" t="s">
        <v>8</v>
      </c>
      <c r="J1349" s="2" t="s">
        <v>9</v>
      </c>
      <c r="K1349" s="3" t="s">
        <v>10</v>
      </c>
      <c r="L1349" s="2" t="s">
        <v>9</v>
      </c>
    </row>
    <row r="1350" spans="1:12" x14ac:dyDescent="0.25">
      <c r="A1350" s="5">
        <v>45958</v>
      </c>
      <c r="B1350" t="s">
        <v>23</v>
      </c>
      <c r="C1350" t="s">
        <v>631</v>
      </c>
      <c r="D1350" t="s">
        <v>25</v>
      </c>
      <c r="F1350" s="6">
        <v>20488</v>
      </c>
      <c r="G1350" t="s">
        <v>632</v>
      </c>
      <c r="I1350" t="s">
        <v>70</v>
      </c>
      <c r="J1350" s="6">
        <v>420000</v>
      </c>
    </row>
    <row r="1351" spans="1:12" x14ac:dyDescent="0.25">
      <c r="I1351" t="s">
        <v>34</v>
      </c>
      <c r="J1351" s="6">
        <v>220000</v>
      </c>
    </row>
    <row r="1352" spans="1:12" x14ac:dyDescent="0.25">
      <c r="I1352" t="s">
        <v>19</v>
      </c>
      <c r="J1352" s="6">
        <v>50000</v>
      </c>
    </row>
    <row r="1353" spans="1:12" x14ac:dyDescent="0.25">
      <c r="I1353" t="s">
        <v>633</v>
      </c>
      <c r="J1353" s="6">
        <v>100000</v>
      </c>
    </row>
    <row r="1354" spans="1:12" x14ac:dyDescent="0.25">
      <c r="I1354" t="s">
        <v>634</v>
      </c>
      <c r="J1354" s="6">
        <v>40000</v>
      </c>
    </row>
    <row r="1355" spans="1:12" x14ac:dyDescent="0.25">
      <c r="I1355" t="s">
        <v>21</v>
      </c>
      <c r="J1355" s="6">
        <v>25000</v>
      </c>
    </row>
    <row r="1357" spans="1:12" x14ac:dyDescent="0.25">
      <c r="I1357" t="s">
        <v>22</v>
      </c>
      <c r="J1357" s="6">
        <f>SUM(J1350:J1356)</f>
        <v>855000</v>
      </c>
    </row>
    <row r="1359" spans="1:12" x14ac:dyDescent="0.25">
      <c r="A1359" s="1" t="s">
        <v>0</v>
      </c>
      <c r="B1359" s="1" t="s">
        <v>1</v>
      </c>
      <c r="C1359" s="1" t="s">
        <v>2</v>
      </c>
      <c r="D1359" s="1" t="s">
        <v>3</v>
      </c>
      <c r="E1359" s="1" t="s">
        <v>4</v>
      </c>
      <c r="F1359" s="2" t="s">
        <v>5</v>
      </c>
      <c r="G1359" s="3" t="s">
        <v>6</v>
      </c>
      <c r="H1359" s="3" t="s">
        <v>7</v>
      </c>
      <c r="I1359" s="4" t="s">
        <v>8</v>
      </c>
      <c r="J1359" s="2" t="s">
        <v>9</v>
      </c>
      <c r="K1359" s="3" t="s">
        <v>10</v>
      </c>
      <c r="L1359" s="2" t="s">
        <v>9</v>
      </c>
    </row>
    <row r="1360" spans="1:12" x14ac:dyDescent="0.25">
      <c r="A1360" s="5">
        <v>45959</v>
      </c>
      <c r="B1360" t="s">
        <v>136</v>
      </c>
      <c r="C1360" t="s">
        <v>681</v>
      </c>
      <c r="D1360" t="s">
        <v>248</v>
      </c>
      <c r="E1360">
        <v>2022</v>
      </c>
      <c r="F1360" s="6">
        <v>36250</v>
      </c>
      <c r="G1360" t="s">
        <v>682</v>
      </c>
      <c r="H1360">
        <v>3214596286</v>
      </c>
      <c r="I1360" t="s">
        <v>683</v>
      </c>
      <c r="J1360" s="6">
        <v>140000</v>
      </c>
    </row>
    <row r="1361" spans="1:12" x14ac:dyDescent="0.25">
      <c r="I1361" t="s">
        <v>21</v>
      </c>
      <c r="J1361" s="6">
        <v>20000</v>
      </c>
    </row>
    <row r="1363" spans="1:12" x14ac:dyDescent="0.25">
      <c r="I1363" t="s">
        <v>22</v>
      </c>
      <c r="J1363" s="6">
        <f>SUM(J1360:J1362)</f>
        <v>160000</v>
      </c>
    </row>
    <row r="1365" spans="1:12" x14ac:dyDescent="0.25">
      <c r="A1365" s="1" t="s">
        <v>0</v>
      </c>
      <c r="B1365" s="1" t="s">
        <v>1</v>
      </c>
      <c r="C1365" s="1" t="s">
        <v>2</v>
      </c>
      <c r="D1365" s="1" t="s">
        <v>3</v>
      </c>
      <c r="E1365" s="1" t="s">
        <v>4</v>
      </c>
      <c r="F1365" s="2" t="s">
        <v>5</v>
      </c>
      <c r="G1365" s="3" t="s">
        <v>6</v>
      </c>
      <c r="H1365" s="3" t="s">
        <v>7</v>
      </c>
      <c r="I1365" s="4" t="s">
        <v>8</v>
      </c>
      <c r="J1365" s="2" t="s">
        <v>9</v>
      </c>
      <c r="K1365" s="3" t="s">
        <v>10</v>
      </c>
      <c r="L1365" s="2" t="s">
        <v>9</v>
      </c>
    </row>
    <row r="1366" spans="1:12" x14ac:dyDescent="0.25">
      <c r="A1366" s="5">
        <v>45958</v>
      </c>
      <c r="B1366" t="s">
        <v>684</v>
      </c>
      <c r="C1366" t="s">
        <v>685</v>
      </c>
      <c r="D1366" t="s">
        <v>138</v>
      </c>
      <c r="F1366" s="6">
        <v>33486</v>
      </c>
      <c r="G1366" t="s">
        <v>323</v>
      </c>
      <c r="I1366" t="s">
        <v>70</v>
      </c>
      <c r="J1366" s="6">
        <v>350000</v>
      </c>
    </row>
    <row r="1367" spans="1:12" x14ac:dyDescent="0.25">
      <c r="I1367" t="s">
        <v>21</v>
      </c>
      <c r="J1367" s="6">
        <v>25000</v>
      </c>
    </row>
    <row r="1369" spans="1:12" x14ac:dyDescent="0.25">
      <c r="I1369" t="s">
        <v>22</v>
      </c>
      <c r="J1369" s="6">
        <f>SUM(J1366:J1368)</f>
        <v>375000</v>
      </c>
    </row>
    <row r="1371" spans="1:12" x14ac:dyDescent="0.25">
      <c r="A1371" s="1" t="s">
        <v>0</v>
      </c>
      <c r="B1371" s="1" t="s">
        <v>1</v>
      </c>
      <c r="C1371" s="1" t="s">
        <v>2</v>
      </c>
      <c r="D1371" s="1" t="s">
        <v>3</v>
      </c>
      <c r="E1371" s="1" t="s">
        <v>4</v>
      </c>
      <c r="F1371" s="2" t="s">
        <v>5</v>
      </c>
      <c r="G1371" s="3" t="s">
        <v>6</v>
      </c>
      <c r="H1371" s="3" t="s">
        <v>7</v>
      </c>
      <c r="I1371" s="4" t="s">
        <v>8</v>
      </c>
      <c r="J1371" s="2" t="s">
        <v>9</v>
      </c>
      <c r="K1371" s="3" t="s">
        <v>10</v>
      </c>
      <c r="L1371" s="2" t="s">
        <v>9</v>
      </c>
    </row>
    <row r="1372" spans="1:12" x14ac:dyDescent="0.25">
      <c r="A1372" s="5">
        <v>45958</v>
      </c>
      <c r="B1372" t="s">
        <v>689</v>
      </c>
      <c r="C1372" t="s">
        <v>690</v>
      </c>
      <c r="D1372" t="s">
        <v>25</v>
      </c>
      <c r="F1372" s="6">
        <v>64712</v>
      </c>
      <c r="G1372" t="s">
        <v>691</v>
      </c>
      <c r="I1372" t="s">
        <v>34</v>
      </c>
      <c r="J1372" s="6">
        <v>175000</v>
      </c>
    </row>
    <row r="1373" spans="1:12" x14ac:dyDescent="0.25">
      <c r="I1373" t="s">
        <v>16</v>
      </c>
      <c r="J1373" s="6">
        <v>80000</v>
      </c>
    </row>
    <row r="1374" spans="1:12" x14ac:dyDescent="0.25">
      <c r="I1374" t="s">
        <v>70</v>
      </c>
      <c r="J1374" s="6">
        <v>390000</v>
      </c>
    </row>
    <row r="1375" spans="1:12" x14ac:dyDescent="0.25">
      <c r="I1375" t="s">
        <v>649</v>
      </c>
      <c r="J1375" s="6">
        <v>120000</v>
      </c>
    </row>
    <row r="1376" spans="1:12" x14ac:dyDescent="0.25">
      <c r="I1376" t="s">
        <v>50</v>
      </c>
      <c r="J1376" s="6">
        <v>120000</v>
      </c>
    </row>
    <row r="1377" spans="1:12" x14ac:dyDescent="0.25">
      <c r="I1377" t="s">
        <v>403</v>
      </c>
      <c r="J1377" s="6">
        <v>60000</v>
      </c>
    </row>
    <row r="1378" spans="1:12" x14ac:dyDescent="0.25">
      <c r="I1378" t="s">
        <v>636</v>
      </c>
      <c r="J1378" s="6">
        <v>30000</v>
      </c>
    </row>
    <row r="1379" spans="1:12" x14ac:dyDescent="0.25">
      <c r="I1379" t="s">
        <v>21</v>
      </c>
      <c r="J1379" s="6">
        <v>25000</v>
      </c>
    </row>
    <row r="1381" spans="1:12" x14ac:dyDescent="0.25">
      <c r="I1381" t="s">
        <v>22</v>
      </c>
      <c r="J1381" s="6">
        <f>SUM(J1372:J1380)</f>
        <v>1000000</v>
      </c>
    </row>
    <row r="1383" spans="1:12" x14ac:dyDescent="0.25">
      <c r="A1383" s="1" t="s">
        <v>0</v>
      </c>
      <c r="B1383" s="1" t="s">
        <v>1</v>
      </c>
      <c r="C1383" s="1" t="s">
        <v>2</v>
      </c>
      <c r="D1383" s="1" t="s">
        <v>3</v>
      </c>
      <c r="E1383" s="1" t="s">
        <v>4</v>
      </c>
      <c r="F1383" s="2" t="s">
        <v>5</v>
      </c>
      <c r="G1383" s="3" t="s">
        <v>6</v>
      </c>
      <c r="H1383" s="3" t="s">
        <v>7</v>
      </c>
      <c r="I1383" s="4" t="s">
        <v>8</v>
      </c>
      <c r="J1383" s="2" t="s">
        <v>9</v>
      </c>
      <c r="K1383" s="3" t="s">
        <v>10</v>
      </c>
      <c r="L1383" s="2" t="s">
        <v>9</v>
      </c>
    </row>
    <row r="1384" spans="1:12" x14ac:dyDescent="0.25">
      <c r="A1384" s="5">
        <v>45960</v>
      </c>
      <c r="B1384" t="s">
        <v>11</v>
      </c>
      <c r="C1384" t="s">
        <v>686</v>
      </c>
      <c r="D1384" t="s">
        <v>45</v>
      </c>
      <c r="E1384">
        <v>2019</v>
      </c>
      <c r="F1384" s="6">
        <v>74640</v>
      </c>
      <c r="G1384" t="s">
        <v>186</v>
      </c>
      <c r="I1384" t="s">
        <v>34</v>
      </c>
      <c r="J1384" s="6">
        <v>50000</v>
      </c>
    </row>
    <row r="1385" spans="1:12" x14ac:dyDescent="0.25">
      <c r="I1385" t="s">
        <v>19</v>
      </c>
      <c r="J1385" s="6">
        <v>18000</v>
      </c>
    </row>
    <row r="1386" spans="1:12" x14ac:dyDescent="0.25">
      <c r="I1386" t="s">
        <v>687</v>
      </c>
      <c r="J1386" s="6">
        <v>15000</v>
      </c>
    </row>
    <row r="1387" spans="1:12" x14ac:dyDescent="0.25">
      <c r="I1387" t="s">
        <v>688</v>
      </c>
      <c r="J1387" s="6">
        <v>15000</v>
      </c>
    </row>
    <row r="1389" spans="1:12" x14ac:dyDescent="0.25">
      <c r="I1389" t="s">
        <v>22</v>
      </c>
      <c r="J1389" s="6">
        <f>SUM(J1384:J1388)</f>
        <v>98000</v>
      </c>
    </row>
    <row r="1391" spans="1:12" x14ac:dyDescent="0.25">
      <c r="A1391" s="1" t="s">
        <v>0</v>
      </c>
      <c r="B1391" s="1" t="s">
        <v>1</v>
      </c>
      <c r="C1391" s="1" t="s">
        <v>2</v>
      </c>
      <c r="D1391" s="1" t="s">
        <v>3</v>
      </c>
      <c r="E1391" s="1" t="s">
        <v>4</v>
      </c>
      <c r="F1391" s="2" t="s">
        <v>5</v>
      </c>
      <c r="G1391" s="3" t="s">
        <v>6</v>
      </c>
      <c r="H1391" s="3" t="s">
        <v>7</v>
      </c>
      <c r="I1391" s="4" t="s">
        <v>8</v>
      </c>
      <c r="J1391" s="2" t="s">
        <v>9</v>
      </c>
      <c r="K1391" s="3" t="s">
        <v>10</v>
      </c>
      <c r="L1391" s="2" t="s">
        <v>9</v>
      </c>
    </row>
    <row r="1392" spans="1:12" x14ac:dyDescent="0.25">
      <c r="A1392" s="5">
        <v>45960</v>
      </c>
      <c r="B1392" t="s">
        <v>110</v>
      </c>
      <c r="C1392" t="s">
        <v>713</v>
      </c>
      <c r="D1392" t="s">
        <v>248</v>
      </c>
      <c r="F1392" s="6">
        <v>112910</v>
      </c>
      <c r="G1392" t="s">
        <v>714</v>
      </c>
      <c r="I1392" t="s">
        <v>715</v>
      </c>
      <c r="J1392" s="6">
        <v>290000</v>
      </c>
    </row>
    <row r="1393" spans="1:12" x14ac:dyDescent="0.25">
      <c r="I1393" t="s">
        <v>21</v>
      </c>
      <c r="J1393" s="6">
        <v>25000</v>
      </c>
    </row>
    <row r="1394" spans="1:12" x14ac:dyDescent="0.25">
      <c r="I1394" t="s">
        <v>720</v>
      </c>
      <c r="J1394" s="6">
        <v>140000</v>
      </c>
    </row>
    <row r="1395" spans="1:12" x14ac:dyDescent="0.25">
      <c r="I1395" t="s">
        <v>716</v>
      </c>
      <c r="J1395" s="6">
        <v>30000</v>
      </c>
    </row>
    <row r="1396" spans="1:12" x14ac:dyDescent="0.25">
      <c r="I1396" t="s">
        <v>146</v>
      </c>
      <c r="J1396" s="6">
        <v>35000</v>
      </c>
    </row>
    <row r="1397" spans="1:12" x14ac:dyDescent="0.25">
      <c r="I1397" t="s">
        <v>717</v>
      </c>
      <c r="J1397" s="6">
        <v>30000</v>
      </c>
    </row>
    <row r="1398" spans="1:12" x14ac:dyDescent="0.25">
      <c r="I1398" t="s">
        <v>718</v>
      </c>
      <c r="J1398" s="6">
        <v>120000</v>
      </c>
    </row>
    <row r="1399" spans="1:12" x14ac:dyDescent="0.25">
      <c r="I1399" t="s">
        <v>719</v>
      </c>
      <c r="J1399" s="6">
        <v>147000</v>
      </c>
    </row>
    <row r="1401" spans="1:12" x14ac:dyDescent="0.25">
      <c r="I1401" t="s">
        <v>22</v>
      </c>
      <c r="J1401" s="6">
        <f>SUM(J1392:J1400)</f>
        <v>817000</v>
      </c>
    </row>
    <row r="1403" spans="1:12" x14ac:dyDescent="0.25">
      <c r="A1403" s="1" t="s">
        <v>0</v>
      </c>
      <c r="B1403" s="1" t="s">
        <v>1</v>
      </c>
      <c r="C1403" s="1" t="s">
        <v>2</v>
      </c>
      <c r="D1403" s="1" t="s">
        <v>3</v>
      </c>
      <c r="E1403" s="1" t="s">
        <v>4</v>
      </c>
      <c r="F1403" s="2" t="s">
        <v>5</v>
      </c>
      <c r="G1403" s="3" t="s">
        <v>6</v>
      </c>
      <c r="H1403" s="3" t="s">
        <v>7</v>
      </c>
      <c r="I1403" s="4" t="s">
        <v>8</v>
      </c>
      <c r="J1403" s="2" t="s">
        <v>9</v>
      </c>
      <c r="K1403" s="3" t="s">
        <v>10</v>
      </c>
      <c r="L1403" s="2" t="s">
        <v>9</v>
      </c>
    </row>
    <row r="1404" spans="1:12" x14ac:dyDescent="0.25">
      <c r="A1404" s="5">
        <v>45960</v>
      </c>
      <c r="B1404" t="s">
        <v>724</v>
      </c>
      <c r="C1404" t="s">
        <v>734</v>
      </c>
      <c r="D1404" t="s">
        <v>25</v>
      </c>
      <c r="G1404" t="s">
        <v>725</v>
      </c>
      <c r="I1404" t="s">
        <v>427</v>
      </c>
      <c r="J1404" s="6">
        <v>1330000</v>
      </c>
    </row>
    <row r="1405" spans="1:12" x14ac:dyDescent="0.25">
      <c r="I1405" t="s">
        <v>726</v>
      </c>
      <c r="J1405" s="6">
        <v>120000</v>
      </c>
    </row>
    <row r="1406" spans="1:12" x14ac:dyDescent="0.25">
      <c r="I1406" t="s">
        <v>429</v>
      </c>
      <c r="J1406" s="6">
        <v>32000</v>
      </c>
    </row>
    <row r="1407" spans="1:12" x14ac:dyDescent="0.25">
      <c r="I1407" t="s">
        <v>335</v>
      </c>
      <c r="J1407" s="6">
        <v>45000</v>
      </c>
    </row>
    <row r="1408" spans="1:12" x14ac:dyDescent="0.25">
      <c r="I1408" t="s">
        <v>18</v>
      </c>
      <c r="J1408" s="6">
        <v>78000</v>
      </c>
    </row>
    <row r="1409" spans="1:12" x14ac:dyDescent="0.25">
      <c r="I1409" t="s">
        <v>687</v>
      </c>
      <c r="J1409" s="6">
        <v>550000</v>
      </c>
    </row>
    <row r="1410" spans="1:12" x14ac:dyDescent="0.25">
      <c r="I1410" t="s">
        <v>16</v>
      </c>
      <c r="J1410" s="6">
        <v>40000</v>
      </c>
    </row>
    <row r="1411" spans="1:12" x14ac:dyDescent="0.25">
      <c r="I1411" t="s">
        <v>727</v>
      </c>
      <c r="J1411" s="6">
        <v>120000</v>
      </c>
    </row>
    <row r="1412" spans="1:12" x14ac:dyDescent="0.25">
      <c r="I1412" t="s">
        <v>426</v>
      </c>
      <c r="J1412" s="6">
        <v>120000</v>
      </c>
    </row>
    <row r="1413" spans="1:12" x14ac:dyDescent="0.25">
      <c r="I1413" t="s">
        <v>21</v>
      </c>
      <c r="J1413" s="6">
        <v>25000</v>
      </c>
    </row>
    <row r="1414" spans="1:12" x14ac:dyDescent="0.25">
      <c r="I1414" t="s">
        <v>19</v>
      </c>
      <c r="J1414" s="6">
        <v>18000</v>
      </c>
    </row>
    <row r="1415" spans="1:12" x14ac:dyDescent="0.25">
      <c r="I1415" t="s">
        <v>728</v>
      </c>
      <c r="J1415" s="6">
        <v>20000</v>
      </c>
    </row>
    <row r="1417" spans="1:12" ht="14.25" customHeight="1" x14ac:dyDescent="0.25">
      <c r="I1417" t="s">
        <v>22</v>
      </c>
      <c r="J1417" s="6">
        <f>SUM(J1404:J1416)</f>
        <v>2498000</v>
      </c>
    </row>
    <row r="1418" spans="1:12" ht="14.25" customHeight="1" x14ac:dyDescent="0.25"/>
    <row r="1419" spans="1:12" x14ac:dyDescent="0.25">
      <c r="A1419" s="1" t="s">
        <v>0</v>
      </c>
      <c r="B1419" s="1" t="s">
        <v>1</v>
      </c>
      <c r="C1419" s="1" t="s">
        <v>2</v>
      </c>
      <c r="D1419" s="1" t="s">
        <v>3</v>
      </c>
      <c r="E1419" s="1" t="s">
        <v>4</v>
      </c>
      <c r="F1419" s="2" t="s">
        <v>5</v>
      </c>
      <c r="G1419" s="3" t="s">
        <v>6</v>
      </c>
      <c r="H1419" s="3" t="s">
        <v>7</v>
      </c>
      <c r="I1419" s="4" t="s">
        <v>8</v>
      </c>
      <c r="J1419" s="2" t="s">
        <v>9</v>
      </c>
      <c r="K1419" s="3" t="s">
        <v>10</v>
      </c>
      <c r="L1419" s="2" t="s">
        <v>9</v>
      </c>
    </row>
    <row r="1420" spans="1:12" ht="14.25" customHeight="1" x14ac:dyDescent="0.25">
      <c r="A1420" s="5">
        <v>45960</v>
      </c>
      <c r="B1420" t="s">
        <v>43</v>
      </c>
      <c r="G1420" t="s">
        <v>729</v>
      </c>
      <c r="I1420" t="s">
        <v>198</v>
      </c>
      <c r="J1420" s="6">
        <v>120000</v>
      </c>
    </row>
    <row r="1421" spans="1:12" ht="14.25" customHeight="1" x14ac:dyDescent="0.25">
      <c r="I1421" t="s">
        <v>730</v>
      </c>
      <c r="J1421" s="6">
        <v>100000</v>
      </c>
    </row>
    <row r="1422" spans="1:12" ht="14.25" customHeight="1" x14ac:dyDescent="0.25"/>
    <row r="1423" spans="1:12" ht="14.25" customHeight="1" x14ac:dyDescent="0.25">
      <c r="I1423" t="s">
        <v>22</v>
      </c>
      <c r="J1423" s="6">
        <f>SUM(J1420:J1422)</f>
        <v>220000</v>
      </c>
    </row>
    <row r="1424" spans="1:12" ht="14.25" customHeight="1" x14ac:dyDescent="0.25"/>
    <row r="1425" spans="1:12" x14ac:dyDescent="0.25">
      <c r="A1425" s="1" t="s">
        <v>0</v>
      </c>
      <c r="B1425" s="1" t="s">
        <v>1</v>
      </c>
      <c r="C1425" s="1" t="s">
        <v>2</v>
      </c>
      <c r="D1425" s="1" t="s">
        <v>3</v>
      </c>
      <c r="E1425" s="1" t="s">
        <v>4</v>
      </c>
      <c r="F1425" s="2" t="s">
        <v>5</v>
      </c>
      <c r="G1425" s="3" t="s">
        <v>6</v>
      </c>
      <c r="H1425" s="3" t="s">
        <v>7</v>
      </c>
      <c r="I1425" s="4" t="s">
        <v>8</v>
      </c>
      <c r="J1425" s="2" t="s">
        <v>9</v>
      </c>
      <c r="K1425" s="3" t="s">
        <v>10</v>
      </c>
      <c r="L1425" s="2" t="s">
        <v>9</v>
      </c>
    </row>
    <row r="1426" spans="1:12" ht="14.25" customHeight="1" x14ac:dyDescent="0.25">
      <c r="A1426" s="5">
        <v>45960</v>
      </c>
      <c r="B1426" t="s">
        <v>31</v>
      </c>
      <c r="C1426" t="s">
        <v>731</v>
      </c>
      <c r="D1426" t="s">
        <v>12</v>
      </c>
      <c r="F1426" s="6">
        <v>90244</v>
      </c>
      <c r="G1426" t="s">
        <v>732</v>
      </c>
      <c r="I1426" t="s">
        <v>733</v>
      </c>
    </row>
    <row r="1427" spans="1:12" ht="14.25" customHeight="1" x14ac:dyDescent="0.25">
      <c r="I1427" t="s">
        <v>264</v>
      </c>
    </row>
    <row r="1428" spans="1:12" ht="14.25" customHeight="1" x14ac:dyDescent="0.25"/>
    <row r="1429" spans="1:12" ht="14.25" customHeight="1" x14ac:dyDescent="0.25">
      <c r="I1429" t="s">
        <v>22</v>
      </c>
      <c r="J1429" s="6">
        <v>130000</v>
      </c>
    </row>
    <row r="1430" spans="1:12" ht="14.25" customHeight="1" x14ac:dyDescent="0.25"/>
    <row r="1431" spans="1:12" x14ac:dyDescent="0.25">
      <c r="A1431" s="1" t="s">
        <v>0</v>
      </c>
      <c r="B1431" s="1" t="s">
        <v>1</v>
      </c>
      <c r="C1431" s="1" t="s">
        <v>2</v>
      </c>
      <c r="D1431" s="1" t="s">
        <v>3</v>
      </c>
      <c r="E1431" s="1" t="s">
        <v>4</v>
      </c>
      <c r="F1431" s="2" t="s">
        <v>5</v>
      </c>
      <c r="G1431" s="3" t="s">
        <v>6</v>
      </c>
      <c r="H1431" s="3" t="s">
        <v>7</v>
      </c>
      <c r="I1431" s="4" t="s">
        <v>8</v>
      </c>
      <c r="J1431" s="2" t="s">
        <v>9</v>
      </c>
      <c r="K1431" s="3" t="s">
        <v>10</v>
      </c>
      <c r="L1431" s="2" t="s">
        <v>9</v>
      </c>
    </row>
    <row r="1432" spans="1:12" x14ac:dyDescent="0.25">
      <c r="A1432" s="5">
        <v>45961</v>
      </c>
      <c r="B1432" t="s">
        <v>130</v>
      </c>
      <c r="C1432" t="s">
        <v>698</v>
      </c>
      <c r="D1432" t="s">
        <v>138</v>
      </c>
      <c r="E1432">
        <v>2015</v>
      </c>
      <c r="F1432" s="6">
        <v>67837</v>
      </c>
      <c r="G1432" t="s">
        <v>699</v>
      </c>
      <c r="H1432">
        <v>3152571992</v>
      </c>
      <c r="I1432" t="s">
        <v>70</v>
      </c>
      <c r="J1432" s="6">
        <v>480000</v>
      </c>
    </row>
    <row r="1433" spans="1:12" x14ac:dyDescent="0.25">
      <c r="I1433" t="s">
        <v>700</v>
      </c>
      <c r="J1433" s="6">
        <v>260000</v>
      </c>
    </row>
    <row r="1434" spans="1:12" x14ac:dyDescent="0.25">
      <c r="I1434" t="s">
        <v>19</v>
      </c>
      <c r="J1434" s="6">
        <v>65000</v>
      </c>
    </row>
    <row r="1435" spans="1:12" x14ac:dyDescent="0.25">
      <c r="I1435" t="s">
        <v>701</v>
      </c>
      <c r="J1435" s="6">
        <v>250000</v>
      </c>
    </row>
    <row r="1436" spans="1:12" x14ac:dyDescent="0.25">
      <c r="I1436" t="s">
        <v>702</v>
      </c>
      <c r="J1436" s="6">
        <v>1200000</v>
      </c>
    </row>
    <row r="1437" spans="1:12" x14ac:dyDescent="0.25">
      <c r="I1437" t="s">
        <v>703</v>
      </c>
      <c r="J1437" s="6">
        <v>80000</v>
      </c>
    </row>
    <row r="1438" spans="1:12" x14ac:dyDescent="0.25">
      <c r="I1438" t="s">
        <v>21</v>
      </c>
      <c r="J1438" s="6">
        <v>25000</v>
      </c>
    </row>
    <row r="1439" spans="1:12" x14ac:dyDescent="0.25">
      <c r="I1439" t="s">
        <v>50</v>
      </c>
      <c r="J1439" s="6">
        <v>120000</v>
      </c>
    </row>
    <row r="1441" spans="1:12" x14ac:dyDescent="0.25">
      <c r="I1441" t="s">
        <v>22</v>
      </c>
      <c r="J1441" s="6">
        <f>SUM(J1432:J1440)</f>
        <v>2480000</v>
      </c>
    </row>
    <row r="1443" spans="1:12" x14ac:dyDescent="0.25">
      <c r="A1443" s="1" t="s">
        <v>0</v>
      </c>
      <c r="B1443" s="1" t="s">
        <v>1</v>
      </c>
      <c r="C1443" s="1" t="s">
        <v>2</v>
      </c>
      <c r="D1443" s="1" t="s">
        <v>3</v>
      </c>
      <c r="E1443" s="1" t="s">
        <v>4</v>
      </c>
      <c r="F1443" s="2" t="s">
        <v>5</v>
      </c>
      <c r="G1443" s="3" t="s">
        <v>6</v>
      </c>
      <c r="H1443" s="3" t="s">
        <v>7</v>
      </c>
      <c r="I1443" s="4" t="s">
        <v>8</v>
      </c>
      <c r="J1443" s="2" t="s">
        <v>9</v>
      </c>
      <c r="K1443" s="3" t="s">
        <v>10</v>
      </c>
      <c r="L1443" s="2" t="s">
        <v>9</v>
      </c>
    </row>
    <row r="1444" spans="1:12" x14ac:dyDescent="0.25">
      <c r="A1444" s="5">
        <v>45961</v>
      </c>
      <c r="B1444" t="s">
        <v>31</v>
      </c>
      <c r="C1444" t="s">
        <v>704</v>
      </c>
      <c r="D1444" t="s">
        <v>25</v>
      </c>
      <c r="F1444" s="6">
        <v>116459</v>
      </c>
      <c r="G1444" t="s">
        <v>705</v>
      </c>
      <c r="H1444">
        <v>3195082141</v>
      </c>
      <c r="I1444" t="s">
        <v>609</v>
      </c>
      <c r="J1444" s="6">
        <v>300000</v>
      </c>
    </row>
    <row r="1445" spans="1:12" x14ac:dyDescent="0.25">
      <c r="I1445" t="s">
        <v>182</v>
      </c>
      <c r="J1445" s="6">
        <v>249000</v>
      </c>
    </row>
    <row r="1446" spans="1:12" x14ac:dyDescent="0.25">
      <c r="I1446" t="s">
        <v>429</v>
      </c>
      <c r="J1446" s="6">
        <v>152000</v>
      </c>
    </row>
    <row r="1447" spans="1:12" x14ac:dyDescent="0.25">
      <c r="I1447" t="s">
        <v>706</v>
      </c>
      <c r="J1447" s="6">
        <v>390000</v>
      </c>
    </row>
    <row r="1448" spans="1:12" x14ac:dyDescent="0.25">
      <c r="I1448" t="s">
        <v>707</v>
      </c>
    </row>
    <row r="1449" spans="1:12" x14ac:dyDescent="0.25">
      <c r="I1449" t="s">
        <v>708</v>
      </c>
      <c r="J1449" s="6">
        <v>90000</v>
      </c>
    </row>
    <row r="1450" spans="1:12" x14ac:dyDescent="0.25">
      <c r="I1450" t="s">
        <v>709</v>
      </c>
      <c r="J1450" s="6">
        <v>25000</v>
      </c>
    </row>
    <row r="1451" spans="1:12" x14ac:dyDescent="0.25">
      <c r="I1451" t="s">
        <v>35</v>
      </c>
      <c r="J1451" s="6">
        <v>150000</v>
      </c>
    </row>
    <row r="1452" spans="1:12" x14ac:dyDescent="0.25">
      <c r="I1452" t="s">
        <v>123</v>
      </c>
      <c r="J1452" s="6">
        <v>150000</v>
      </c>
    </row>
    <row r="1453" spans="1:12" x14ac:dyDescent="0.25">
      <c r="I1453" t="s">
        <v>710</v>
      </c>
      <c r="J1453" s="6">
        <v>25000</v>
      </c>
    </row>
    <row r="1454" spans="1:12" x14ac:dyDescent="0.25">
      <c r="I1454" t="s">
        <v>34</v>
      </c>
      <c r="J1454" s="6">
        <v>160000</v>
      </c>
    </row>
    <row r="1455" spans="1:12" x14ac:dyDescent="0.25">
      <c r="I1455" t="s">
        <v>19</v>
      </c>
      <c r="J1455" s="6">
        <v>46000</v>
      </c>
    </row>
    <row r="1456" spans="1:12" x14ac:dyDescent="0.25">
      <c r="I1456" t="s">
        <v>711</v>
      </c>
      <c r="J1456" s="6">
        <v>850000</v>
      </c>
    </row>
    <row r="1457" spans="1:12" x14ac:dyDescent="0.25">
      <c r="I1457" t="s">
        <v>198</v>
      </c>
      <c r="J1457" s="6">
        <v>240000</v>
      </c>
    </row>
    <row r="1458" spans="1:12" x14ac:dyDescent="0.25">
      <c r="I1458" t="s">
        <v>712</v>
      </c>
      <c r="J1458" s="6">
        <v>650000</v>
      </c>
    </row>
    <row r="1459" spans="1:12" x14ac:dyDescent="0.25">
      <c r="I1459" t="s">
        <v>551</v>
      </c>
    </row>
    <row r="1461" spans="1:12" x14ac:dyDescent="0.25">
      <c r="I1461" t="s">
        <v>22</v>
      </c>
      <c r="J1461" s="6">
        <f>SUM(J1444:J1460)</f>
        <v>3477000</v>
      </c>
    </row>
    <row r="1463" spans="1:12" x14ac:dyDescent="0.25">
      <c r="A1463" s="1" t="s">
        <v>0</v>
      </c>
      <c r="B1463" s="1" t="s">
        <v>1</v>
      </c>
      <c r="C1463" s="1" t="s">
        <v>2</v>
      </c>
      <c r="D1463" s="1" t="s">
        <v>3</v>
      </c>
      <c r="E1463" s="1" t="s">
        <v>4</v>
      </c>
      <c r="F1463" s="2" t="s">
        <v>5</v>
      </c>
      <c r="G1463" s="3" t="s">
        <v>6</v>
      </c>
      <c r="H1463" s="3" t="s">
        <v>7</v>
      </c>
      <c r="I1463" s="4" t="s">
        <v>8</v>
      </c>
      <c r="J1463" s="2" t="s">
        <v>9</v>
      </c>
      <c r="K1463" s="3" t="s">
        <v>10</v>
      </c>
      <c r="L1463" s="2" t="s">
        <v>9</v>
      </c>
    </row>
    <row r="1464" spans="1:12" x14ac:dyDescent="0.25">
      <c r="A1464" s="5">
        <v>45961</v>
      </c>
      <c r="B1464" t="s">
        <v>72</v>
      </c>
      <c r="C1464" t="s">
        <v>73</v>
      </c>
      <c r="D1464" t="s">
        <v>12</v>
      </c>
      <c r="G1464" t="s">
        <v>74</v>
      </c>
      <c r="I1464" t="s">
        <v>721</v>
      </c>
      <c r="J1464" s="6">
        <v>260000</v>
      </c>
    </row>
    <row r="1465" spans="1:12" x14ac:dyDescent="0.25">
      <c r="I1465" t="s">
        <v>722</v>
      </c>
      <c r="J1465" s="6">
        <v>60000</v>
      </c>
    </row>
    <row r="1466" spans="1:12" x14ac:dyDescent="0.25">
      <c r="I1466" t="s">
        <v>61</v>
      </c>
      <c r="J1466" s="6">
        <v>80000</v>
      </c>
    </row>
    <row r="1467" spans="1:12" x14ac:dyDescent="0.25">
      <c r="I1467" t="s">
        <v>21</v>
      </c>
      <c r="J1467" s="6">
        <v>25000</v>
      </c>
    </row>
    <row r="1468" spans="1:12" x14ac:dyDescent="0.25">
      <c r="I1468" t="s">
        <v>723</v>
      </c>
      <c r="J1468" s="6">
        <v>45000</v>
      </c>
    </row>
    <row r="1470" spans="1:12" x14ac:dyDescent="0.25">
      <c r="I1470" t="s">
        <v>22</v>
      </c>
      <c r="J1470" s="6">
        <f>SUM(J1464:J1469)</f>
        <v>470000</v>
      </c>
    </row>
    <row r="1472" spans="1:12" x14ac:dyDescent="0.25">
      <c r="A1472" s="1" t="s">
        <v>0</v>
      </c>
      <c r="B1472" s="1" t="s">
        <v>1</v>
      </c>
      <c r="C1472" s="1" t="s">
        <v>2</v>
      </c>
      <c r="D1472" s="1" t="s">
        <v>3</v>
      </c>
      <c r="E1472" s="1" t="s">
        <v>4</v>
      </c>
      <c r="F1472" s="2" t="s">
        <v>5</v>
      </c>
      <c r="G1472" s="3" t="s">
        <v>6</v>
      </c>
      <c r="H1472" s="3" t="s">
        <v>7</v>
      </c>
      <c r="I1472" s="4" t="s">
        <v>8</v>
      </c>
      <c r="J1472" s="2" t="s">
        <v>9</v>
      </c>
      <c r="K1472" s="3" t="s">
        <v>10</v>
      </c>
      <c r="L1472" s="2" t="s">
        <v>9</v>
      </c>
    </row>
    <row r="1473" spans="1:12" x14ac:dyDescent="0.25">
      <c r="A1473" s="5">
        <v>45961</v>
      </c>
      <c r="B1473" t="s">
        <v>746</v>
      </c>
      <c r="C1473" t="s">
        <v>747</v>
      </c>
      <c r="D1473" t="s">
        <v>45</v>
      </c>
      <c r="F1473" s="6">
        <v>31397</v>
      </c>
      <c r="I1473" t="s">
        <v>34</v>
      </c>
    </row>
    <row r="1474" spans="1:12" x14ac:dyDescent="0.25">
      <c r="I1474" t="s">
        <v>19</v>
      </c>
    </row>
    <row r="1475" spans="1:12" x14ac:dyDescent="0.25">
      <c r="I1475" t="s">
        <v>61</v>
      </c>
    </row>
    <row r="1477" spans="1:12" x14ac:dyDescent="0.25">
      <c r="I1477" t="s">
        <v>22</v>
      </c>
    </row>
    <row r="1479" spans="1:12" x14ac:dyDescent="0.25">
      <c r="A1479" s="1" t="s">
        <v>0</v>
      </c>
      <c r="B1479" s="1" t="s">
        <v>1</v>
      </c>
      <c r="C1479" s="1" t="s">
        <v>2</v>
      </c>
      <c r="D1479" s="1" t="s">
        <v>3</v>
      </c>
      <c r="E1479" s="1" t="s">
        <v>4</v>
      </c>
      <c r="F1479" s="2" t="s">
        <v>5</v>
      </c>
      <c r="G1479" s="3" t="s">
        <v>6</v>
      </c>
      <c r="H1479" s="3" t="s">
        <v>7</v>
      </c>
      <c r="I1479" s="4" t="s">
        <v>8</v>
      </c>
      <c r="J1479" s="2" t="s">
        <v>9</v>
      </c>
      <c r="K1479" s="3" t="s">
        <v>10</v>
      </c>
      <c r="L1479" s="2" t="s">
        <v>9</v>
      </c>
    </row>
    <row r="1480" spans="1:12" x14ac:dyDescent="0.25">
      <c r="A1480" s="5">
        <v>45961</v>
      </c>
      <c r="B1480" t="s">
        <v>31</v>
      </c>
      <c r="C1480" t="s">
        <v>748</v>
      </c>
      <c r="D1480" t="s">
        <v>12</v>
      </c>
      <c r="E1480">
        <v>2018</v>
      </c>
      <c r="F1480" s="6">
        <v>70223</v>
      </c>
      <c r="G1480" t="s">
        <v>749</v>
      </c>
      <c r="I1480" t="s">
        <v>750</v>
      </c>
      <c r="J1480" s="6">
        <v>900000</v>
      </c>
    </row>
    <row r="1481" spans="1:12" x14ac:dyDescent="0.25">
      <c r="I1481" t="s">
        <v>751</v>
      </c>
      <c r="J1481" s="6">
        <v>322000</v>
      </c>
    </row>
    <row r="1482" spans="1:12" x14ac:dyDescent="0.25">
      <c r="I1482" t="s">
        <v>752</v>
      </c>
      <c r="J1482" s="6">
        <v>20000</v>
      </c>
    </row>
    <row r="1483" spans="1:12" x14ac:dyDescent="0.25">
      <c r="I1483" t="s">
        <v>75</v>
      </c>
      <c r="J1483" s="6">
        <v>305000</v>
      </c>
    </row>
    <row r="1485" spans="1:12" x14ac:dyDescent="0.25">
      <c r="I1485" t="s">
        <v>22</v>
      </c>
      <c r="J1485" s="6">
        <f>SUM(J1480:J1484)</f>
        <v>1547000</v>
      </c>
    </row>
    <row r="1487" spans="1:12" x14ac:dyDescent="0.25">
      <c r="A1487" s="1" t="s">
        <v>0</v>
      </c>
      <c r="B1487" s="1" t="s">
        <v>1</v>
      </c>
      <c r="C1487" s="1" t="s">
        <v>2</v>
      </c>
      <c r="D1487" s="1" t="s">
        <v>3</v>
      </c>
      <c r="E1487" s="1" t="s">
        <v>4</v>
      </c>
      <c r="F1487" s="2" t="s">
        <v>5</v>
      </c>
      <c r="G1487" s="3" t="s">
        <v>6</v>
      </c>
      <c r="H1487" s="3" t="s">
        <v>7</v>
      </c>
      <c r="I1487" s="4" t="s">
        <v>8</v>
      </c>
      <c r="J1487" s="2" t="s">
        <v>9</v>
      </c>
      <c r="K1487" s="3" t="s">
        <v>10</v>
      </c>
      <c r="L1487" s="2" t="s">
        <v>9</v>
      </c>
    </row>
    <row r="1488" spans="1:12" x14ac:dyDescent="0.25">
      <c r="A1488" s="5">
        <v>45962</v>
      </c>
      <c r="B1488" t="s">
        <v>110</v>
      </c>
      <c r="C1488" t="s">
        <v>753</v>
      </c>
      <c r="D1488" t="s">
        <v>45</v>
      </c>
      <c r="F1488" s="6">
        <v>143593</v>
      </c>
      <c r="G1488" t="s">
        <v>157</v>
      </c>
      <c r="I1488" t="s">
        <v>553</v>
      </c>
    </row>
    <row r="1489" spans="1:12" x14ac:dyDescent="0.25">
      <c r="I1489" t="s">
        <v>146</v>
      </c>
    </row>
    <row r="1491" spans="1:12" x14ac:dyDescent="0.25">
      <c r="I1491" t="s">
        <v>22</v>
      </c>
    </row>
    <row r="1493" spans="1:12" x14ac:dyDescent="0.25">
      <c r="A1493" s="1" t="s">
        <v>0</v>
      </c>
      <c r="B1493" s="1" t="s">
        <v>1</v>
      </c>
      <c r="C1493" s="1" t="s">
        <v>2</v>
      </c>
      <c r="D1493" s="1" t="s">
        <v>3</v>
      </c>
      <c r="E1493" s="1" t="s">
        <v>4</v>
      </c>
      <c r="F1493" s="2" t="s">
        <v>5</v>
      </c>
      <c r="G1493" s="3" t="s">
        <v>6</v>
      </c>
      <c r="H1493" s="3" t="s">
        <v>7</v>
      </c>
      <c r="I1493" s="4" t="s">
        <v>8</v>
      </c>
      <c r="J1493" s="2" t="s">
        <v>9</v>
      </c>
      <c r="K1493" s="3" t="s">
        <v>10</v>
      </c>
      <c r="L1493" s="2" t="s">
        <v>9</v>
      </c>
    </row>
    <row r="1494" spans="1:12" x14ac:dyDescent="0.25">
      <c r="A1494" s="5">
        <v>45962</v>
      </c>
      <c r="B1494" t="s">
        <v>31</v>
      </c>
      <c r="C1494" t="s">
        <v>597</v>
      </c>
      <c r="D1494" t="s">
        <v>25</v>
      </c>
      <c r="F1494" s="6">
        <v>25754</v>
      </c>
      <c r="G1494" t="s">
        <v>598</v>
      </c>
      <c r="I1494" t="s">
        <v>75</v>
      </c>
    </row>
    <row r="1496" spans="1:12" x14ac:dyDescent="0.25">
      <c r="I1496" t="s">
        <v>22</v>
      </c>
      <c r="J1496" s="6">
        <v>305000</v>
      </c>
    </row>
    <row r="1498" spans="1:12" x14ac:dyDescent="0.25">
      <c r="A1498" s="1" t="s">
        <v>0</v>
      </c>
      <c r="B1498" s="1" t="s">
        <v>1</v>
      </c>
      <c r="C1498" s="1" t="s">
        <v>2</v>
      </c>
      <c r="D1498" s="1" t="s">
        <v>3</v>
      </c>
      <c r="E1498" s="1" t="s">
        <v>4</v>
      </c>
      <c r="F1498" s="2" t="s">
        <v>5</v>
      </c>
      <c r="G1498" s="3" t="s">
        <v>6</v>
      </c>
      <c r="H1498" s="3" t="s">
        <v>7</v>
      </c>
      <c r="I1498" s="4" t="s">
        <v>8</v>
      </c>
      <c r="J1498" s="2" t="s">
        <v>9</v>
      </c>
      <c r="K1498" s="3" t="s">
        <v>10</v>
      </c>
      <c r="L1498" s="2" t="s">
        <v>9</v>
      </c>
    </row>
    <row r="1499" spans="1:12" x14ac:dyDescent="0.25">
      <c r="A1499" s="5">
        <v>45962</v>
      </c>
      <c r="B1499" t="s">
        <v>31</v>
      </c>
      <c r="C1499" t="s">
        <v>754</v>
      </c>
      <c r="D1499" t="s">
        <v>12</v>
      </c>
      <c r="E1499">
        <v>2018</v>
      </c>
      <c r="G1499" t="s">
        <v>755</v>
      </c>
      <c r="I1499" t="s">
        <v>224</v>
      </c>
      <c r="J1499" s="6">
        <v>360000</v>
      </c>
    </row>
    <row r="1500" spans="1:12" x14ac:dyDescent="0.25">
      <c r="I1500" t="s">
        <v>40</v>
      </c>
      <c r="J1500" s="6">
        <v>380000</v>
      </c>
    </row>
    <row r="1501" spans="1:12" x14ac:dyDescent="0.25">
      <c r="I1501" t="s">
        <v>483</v>
      </c>
      <c r="J1501" s="6">
        <v>150000</v>
      </c>
    </row>
    <row r="1502" spans="1:12" x14ac:dyDescent="0.25">
      <c r="I1502" t="s">
        <v>123</v>
      </c>
      <c r="J1502" s="6">
        <v>140000</v>
      </c>
    </row>
    <row r="1503" spans="1:12" x14ac:dyDescent="0.25">
      <c r="I1503" t="s">
        <v>107</v>
      </c>
      <c r="J1503" s="6">
        <v>125000</v>
      </c>
    </row>
    <row r="1505" spans="1:12" x14ac:dyDescent="0.25">
      <c r="I1505" t="s">
        <v>22</v>
      </c>
      <c r="J1505" s="6">
        <f>SUM(J1499:J1504)</f>
        <v>1155000</v>
      </c>
    </row>
    <row r="1507" spans="1:12" x14ac:dyDescent="0.25">
      <c r="A1507" s="1" t="s">
        <v>0</v>
      </c>
      <c r="B1507" s="1" t="s">
        <v>1</v>
      </c>
      <c r="C1507" s="1" t="s">
        <v>2</v>
      </c>
      <c r="D1507" s="1" t="s">
        <v>3</v>
      </c>
      <c r="E1507" s="1" t="s">
        <v>4</v>
      </c>
      <c r="F1507" s="2" t="s">
        <v>5</v>
      </c>
      <c r="G1507" s="3" t="s">
        <v>6</v>
      </c>
      <c r="H1507" s="3" t="s">
        <v>7</v>
      </c>
      <c r="I1507" s="4" t="s">
        <v>8</v>
      </c>
      <c r="J1507" s="2" t="s">
        <v>9</v>
      </c>
      <c r="K1507" s="3" t="s">
        <v>10</v>
      </c>
      <c r="L1507" s="2" t="s">
        <v>9</v>
      </c>
    </row>
    <row r="1508" spans="1:12" x14ac:dyDescent="0.25">
      <c r="A1508" s="5">
        <v>45962</v>
      </c>
      <c r="B1508" t="s">
        <v>31</v>
      </c>
      <c r="C1508" t="s">
        <v>756</v>
      </c>
      <c r="D1508" t="s">
        <v>45</v>
      </c>
      <c r="E1508">
        <v>2020</v>
      </c>
      <c r="F1508" s="6">
        <v>46857</v>
      </c>
      <c r="G1508" t="s">
        <v>757</v>
      </c>
      <c r="I1508" t="s">
        <v>36</v>
      </c>
      <c r="J1508" s="6">
        <v>180000</v>
      </c>
    </row>
    <row r="1509" spans="1:12" x14ac:dyDescent="0.25">
      <c r="I1509" t="s">
        <v>758</v>
      </c>
      <c r="J1509" s="6">
        <v>25000</v>
      </c>
    </row>
    <row r="1510" spans="1:12" x14ac:dyDescent="0.25">
      <c r="I1510" t="s">
        <v>759</v>
      </c>
      <c r="J1510" s="6">
        <v>20000</v>
      </c>
    </row>
    <row r="1512" spans="1:12" x14ac:dyDescent="0.25">
      <c r="I1512" t="s">
        <v>22</v>
      </c>
      <c r="J1512" s="6">
        <f>SUM(J1508:J1511)</f>
        <v>225000</v>
      </c>
    </row>
    <row r="1514" spans="1:12" x14ac:dyDescent="0.25">
      <c r="A1514" s="1" t="s">
        <v>0</v>
      </c>
      <c r="B1514" s="1" t="s">
        <v>1</v>
      </c>
      <c r="C1514" s="1" t="s">
        <v>2</v>
      </c>
      <c r="D1514" s="1" t="s">
        <v>3</v>
      </c>
      <c r="E1514" s="1" t="s">
        <v>4</v>
      </c>
      <c r="F1514" s="2" t="s">
        <v>5</v>
      </c>
      <c r="G1514" s="3" t="s">
        <v>6</v>
      </c>
      <c r="H1514" s="3" t="s">
        <v>7</v>
      </c>
      <c r="I1514" s="4" t="s">
        <v>8</v>
      </c>
      <c r="J1514" s="2" t="s">
        <v>9</v>
      </c>
      <c r="K1514" s="3" t="s">
        <v>10</v>
      </c>
      <c r="L1514" s="2" t="s">
        <v>9</v>
      </c>
    </row>
    <row r="1515" spans="1:12" x14ac:dyDescent="0.25">
      <c r="A1515" s="5">
        <v>45962</v>
      </c>
      <c r="B1515" t="s">
        <v>31</v>
      </c>
      <c r="C1515" t="s">
        <v>1243</v>
      </c>
      <c r="D1515" t="s">
        <v>12</v>
      </c>
      <c r="E1515">
        <v>2018</v>
      </c>
      <c r="G1515" t="s">
        <v>1244</v>
      </c>
      <c r="I1515" t="s">
        <v>1245</v>
      </c>
    </row>
    <row r="1516" spans="1:12" x14ac:dyDescent="0.25">
      <c r="A1516" s="5"/>
      <c r="I1516" t="s">
        <v>483</v>
      </c>
    </row>
    <row r="1517" spans="1:12" x14ac:dyDescent="0.25">
      <c r="A1517" s="5"/>
      <c r="I1517" t="s">
        <v>21</v>
      </c>
    </row>
    <row r="1518" spans="1:12" x14ac:dyDescent="0.25">
      <c r="A1518" s="5"/>
      <c r="I1518" t="s">
        <v>108</v>
      </c>
    </row>
    <row r="1520" spans="1:12" x14ac:dyDescent="0.25">
      <c r="I1520" t="s">
        <v>22</v>
      </c>
    </row>
    <row r="1522" spans="1:12" x14ac:dyDescent="0.25">
      <c r="A1522" s="1" t="s">
        <v>0</v>
      </c>
      <c r="B1522" s="1" t="s">
        <v>1</v>
      </c>
      <c r="C1522" s="1" t="s">
        <v>2</v>
      </c>
      <c r="D1522" s="1" t="s">
        <v>3</v>
      </c>
      <c r="E1522" s="1" t="s">
        <v>4</v>
      </c>
      <c r="F1522" s="2" t="s">
        <v>5</v>
      </c>
      <c r="G1522" s="3" t="s">
        <v>6</v>
      </c>
      <c r="H1522" s="3" t="s">
        <v>7</v>
      </c>
      <c r="I1522" s="4" t="s">
        <v>8</v>
      </c>
      <c r="J1522" s="2" t="s">
        <v>9</v>
      </c>
      <c r="K1522" s="3" t="s">
        <v>10</v>
      </c>
      <c r="L1522" s="2" t="s">
        <v>9</v>
      </c>
    </row>
    <row r="1523" spans="1:12" x14ac:dyDescent="0.25">
      <c r="A1523" s="5">
        <v>45962</v>
      </c>
      <c r="B1523" t="s">
        <v>741</v>
      </c>
      <c r="C1523" t="s">
        <v>742</v>
      </c>
      <c r="D1523" t="s">
        <v>12</v>
      </c>
      <c r="G1523" t="s">
        <v>732</v>
      </c>
      <c r="H1523">
        <v>3204141065</v>
      </c>
      <c r="I1523" t="s">
        <v>743</v>
      </c>
    </row>
    <row r="1524" spans="1:12" x14ac:dyDescent="0.25">
      <c r="I1524" t="s">
        <v>146</v>
      </c>
    </row>
    <row r="1525" spans="1:12" x14ac:dyDescent="0.25">
      <c r="I1525" t="s">
        <v>744</v>
      </c>
    </row>
    <row r="1526" spans="1:12" x14ac:dyDescent="0.25">
      <c r="I1526" t="s">
        <v>745</v>
      </c>
      <c r="J1526" s="6">
        <v>35000</v>
      </c>
    </row>
    <row r="1527" spans="1:12" x14ac:dyDescent="0.25">
      <c r="I1527" t="s">
        <v>34</v>
      </c>
      <c r="J1527" s="6">
        <v>40000</v>
      </c>
    </row>
    <row r="1529" spans="1:12" x14ac:dyDescent="0.25">
      <c r="I1529" t="s">
        <v>22</v>
      </c>
    </row>
    <row r="1531" spans="1:12" x14ac:dyDescent="0.25">
      <c r="A1531" s="1" t="s">
        <v>0</v>
      </c>
      <c r="B1531" s="1" t="s">
        <v>1</v>
      </c>
      <c r="C1531" s="1" t="s">
        <v>2</v>
      </c>
      <c r="D1531" s="1" t="s">
        <v>3</v>
      </c>
      <c r="E1531" s="1" t="s">
        <v>4</v>
      </c>
      <c r="F1531" s="2" t="s">
        <v>5</v>
      </c>
      <c r="G1531" s="3" t="s">
        <v>6</v>
      </c>
      <c r="H1531" s="3" t="s">
        <v>7</v>
      </c>
      <c r="I1531" s="4" t="s">
        <v>8</v>
      </c>
      <c r="J1531" s="2" t="s">
        <v>9</v>
      </c>
      <c r="K1531" s="3" t="s">
        <v>10</v>
      </c>
      <c r="L1531" s="2" t="s">
        <v>9</v>
      </c>
    </row>
    <row r="1532" spans="1:12" x14ac:dyDescent="0.25">
      <c r="A1532" s="5">
        <v>45965</v>
      </c>
      <c r="B1532" t="s">
        <v>48</v>
      </c>
      <c r="C1532" t="s">
        <v>735</v>
      </c>
      <c r="D1532" t="s">
        <v>45</v>
      </c>
      <c r="G1532" t="s">
        <v>736</v>
      </c>
      <c r="I1532" t="s">
        <v>737</v>
      </c>
      <c r="J1532" s="6">
        <v>450000</v>
      </c>
    </row>
    <row r="1533" spans="1:12" x14ac:dyDescent="0.25">
      <c r="I1533" t="s">
        <v>760</v>
      </c>
      <c r="J1533" s="6">
        <v>60000</v>
      </c>
    </row>
    <row r="1534" spans="1:12" x14ac:dyDescent="0.25">
      <c r="I1534" t="s">
        <v>489</v>
      </c>
      <c r="J1534" s="6">
        <v>120000</v>
      </c>
    </row>
    <row r="1535" spans="1:12" x14ac:dyDescent="0.25">
      <c r="I1535" t="s">
        <v>66</v>
      </c>
      <c r="J1535" s="6">
        <v>60000</v>
      </c>
    </row>
    <row r="1536" spans="1:12" x14ac:dyDescent="0.25">
      <c r="I1536" t="s">
        <v>34</v>
      </c>
      <c r="J1536" s="6">
        <v>190000</v>
      </c>
    </row>
    <row r="1537" spans="1:12" x14ac:dyDescent="0.25">
      <c r="I1537" t="s">
        <v>19</v>
      </c>
      <c r="J1537" s="6">
        <v>46000</v>
      </c>
    </row>
    <row r="1538" spans="1:12" x14ac:dyDescent="0.25">
      <c r="I1538" t="s">
        <v>21</v>
      </c>
      <c r="J1538" s="6">
        <v>25000</v>
      </c>
    </row>
    <row r="1540" spans="1:12" x14ac:dyDescent="0.25">
      <c r="I1540" t="s">
        <v>22</v>
      </c>
      <c r="J1540" s="6">
        <f>SUM(J1532:J1539)</f>
        <v>951000</v>
      </c>
    </row>
    <row r="1542" spans="1:12" x14ac:dyDescent="0.25">
      <c r="A1542" s="1" t="s">
        <v>0</v>
      </c>
      <c r="B1542" s="1" t="s">
        <v>1</v>
      </c>
      <c r="C1542" s="1" t="s">
        <v>2</v>
      </c>
      <c r="D1542" s="1" t="s">
        <v>3</v>
      </c>
      <c r="E1542" s="1" t="s">
        <v>4</v>
      </c>
      <c r="F1542" s="2" t="s">
        <v>5</v>
      </c>
      <c r="G1542" s="3" t="s">
        <v>6</v>
      </c>
      <c r="H1542" s="3" t="s">
        <v>7</v>
      </c>
      <c r="I1542" s="4" t="s">
        <v>8</v>
      </c>
      <c r="J1542" s="2" t="s">
        <v>9</v>
      </c>
      <c r="K1542" s="3" t="s">
        <v>10</v>
      </c>
      <c r="L1542" s="2" t="s">
        <v>9</v>
      </c>
    </row>
    <row r="1543" spans="1:12" x14ac:dyDescent="0.25">
      <c r="A1543" s="5">
        <v>45965</v>
      </c>
      <c r="B1543" t="s">
        <v>31</v>
      </c>
      <c r="C1543" t="s">
        <v>401</v>
      </c>
      <c r="D1543" t="s">
        <v>25</v>
      </c>
      <c r="G1543" t="s">
        <v>402</v>
      </c>
      <c r="I1543" t="s">
        <v>414</v>
      </c>
      <c r="J1543" s="6">
        <v>80000</v>
      </c>
    </row>
    <row r="1544" spans="1:12" x14ac:dyDescent="0.25">
      <c r="I1544" t="s">
        <v>761</v>
      </c>
      <c r="J1544" s="6">
        <v>150000</v>
      </c>
    </row>
    <row r="1545" spans="1:12" x14ac:dyDescent="0.25">
      <c r="I1545" t="s">
        <v>403</v>
      </c>
      <c r="J1545" s="6">
        <v>80000</v>
      </c>
    </row>
    <row r="1547" spans="1:12" x14ac:dyDescent="0.25">
      <c r="I1547" t="s">
        <v>22</v>
      </c>
      <c r="J1547" s="6">
        <f>SUM(J1543:J1546)</f>
        <v>310000</v>
      </c>
    </row>
    <row r="1549" spans="1:12" x14ac:dyDescent="0.25">
      <c r="A1549" s="1" t="s">
        <v>0</v>
      </c>
      <c r="B1549" s="1" t="s">
        <v>1</v>
      </c>
      <c r="C1549" s="1" t="s">
        <v>2</v>
      </c>
      <c r="D1549" s="1" t="s">
        <v>3</v>
      </c>
      <c r="E1549" s="1" t="s">
        <v>4</v>
      </c>
      <c r="F1549" s="2" t="s">
        <v>5</v>
      </c>
      <c r="G1549" s="3" t="s">
        <v>6</v>
      </c>
      <c r="H1549" s="3" t="s">
        <v>7</v>
      </c>
      <c r="I1549" s="4" t="s">
        <v>8</v>
      </c>
      <c r="J1549" s="2" t="s">
        <v>9</v>
      </c>
      <c r="K1549" s="3" t="s">
        <v>10</v>
      </c>
      <c r="L1549" s="2" t="s">
        <v>9</v>
      </c>
    </row>
    <row r="1550" spans="1:12" x14ac:dyDescent="0.25">
      <c r="A1550" s="5">
        <v>45966</v>
      </c>
      <c r="B1550" t="s">
        <v>110</v>
      </c>
      <c r="C1550" t="s">
        <v>738</v>
      </c>
      <c r="D1550" t="s">
        <v>739</v>
      </c>
      <c r="E1550">
        <v>2011</v>
      </c>
      <c r="F1550" s="6">
        <v>140418</v>
      </c>
      <c r="G1550" t="s">
        <v>740</v>
      </c>
      <c r="H1550">
        <v>3150521804</v>
      </c>
      <c r="I1550" t="s">
        <v>721</v>
      </c>
      <c r="J1550" s="6">
        <v>250000</v>
      </c>
    </row>
    <row r="1551" spans="1:12" x14ac:dyDescent="0.25">
      <c r="I1551" t="s">
        <v>61</v>
      </c>
      <c r="J1551" s="6">
        <v>10000</v>
      </c>
    </row>
    <row r="1552" spans="1:12" x14ac:dyDescent="0.25">
      <c r="I1552" t="s">
        <v>21</v>
      </c>
      <c r="J1552" s="6">
        <v>25000</v>
      </c>
    </row>
    <row r="1554" spans="1:12" x14ac:dyDescent="0.25">
      <c r="I1554" t="s">
        <v>22</v>
      </c>
      <c r="J1554" s="6">
        <f>SUM(J1550:J1553)</f>
        <v>285000</v>
      </c>
    </row>
    <row r="1556" spans="1:12" x14ac:dyDescent="0.25">
      <c r="A1556" s="1" t="s">
        <v>0</v>
      </c>
      <c r="B1556" s="1" t="s">
        <v>1</v>
      </c>
      <c r="C1556" s="1" t="s">
        <v>2</v>
      </c>
      <c r="D1556" s="1" t="s">
        <v>3</v>
      </c>
      <c r="E1556" s="1" t="s">
        <v>4</v>
      </c>
      <c r="F1556" s="2" t="s">
        <v>5</v>
      </c>
      <c r="G1556" s="3" t="s">
        <v>6</v>
      </c>
      <c r="H1556" s="3" t="s">
        <v>7</v>
      </c>
      <c r="I1556" s="4" t="s">
        <v>8</v>
      </c>
      <c r="J1556" s="2" t="s">
        <v>9</v>
      </c>
      <c r="K1556" s="3" t="s">
        <v>10</v>
      </c>
      <c r="L1556" s="2" t="s">
        <v>9</v>
      </c>
    </row>
    <row r="1557" spans="1:12" x14ac:dyDescent="0.25">
      <c r="A1557" s="5">
        <v>45967</v>
      </c>
      <c r="B1557" t="s">
        <v>799</v>
      </c>
      <c r="C1557" t="s">
        <v>800</v>
      </c>
      <c r="D1557" t="s">
        <v>138</v>
      </c>
      <c r="E1557">
        <v>2019</v>
      </c>
      <c r="F1557" s="6">
        <v>81091</v>
      </c>
      <c r="G1557" t="s">
        <v>801</v>
      </c>
      <c r="H1557">
        <v>3057521470</v>
      </c>
      <c r="I1557" t="s">
        <v>70</v>
      </c>
      <c r="J1557" s="6">
        <v>420000</v>
      </c>
    </row>
    <row r="1558" spans="1:12" x14ac:dyDescent="0.25">
      <c r="I1558" t="s">
        <v>702</v>
      </c>
      <c r="J1558" s="6">
        <v>1200000</v>
      </c>
    </row>
    <row r="1559" spans="1:12" x14ac:dyDescent="0.25">
      <c r="I1559" t="s">
        <v>802</v>
      </c>
      <c r="J1559" s="6">
        <v>180000</v>
      </c>
    </row>
    <row r="1560" spans="1:12" x14ac:dyDescent="0.25">
      <c r="I1560" t="s">
        <v>21</v>
      </c>
      <c r="J1560" s="6">
        <v>25000</v>
      </c>
    </row>
    <row r="1561" spans="1:12" x14ac:dyDescent="0.25">
      <c r="I1561" t="s">
        <v>107</v>
      </c>
      <c r="J1561" s="6">
        <v>100000</v>
      </c>
    </row>
    <row r="1563" spans="1:12" x14ac:dyDescent="0.25">
      <c r="I1563" t="s">
        <v>22</v>
      </c>
      <c r="J1563" s="6">
        <f>SUM(J1557:J1562)</f>
        <v>1925000</v>
      </c>
    </row>
    <row r="1565" spans="1:12" x14ac:dyDescent="0.25">
      <c r="A1565" s="1" t="s">
        <v>0</v>
      </c>
      <c r="B1565" s="1" t="s">
        <v>1</v>
      </c>
      <c r="C1565" s="1" t="s">
        <v>2</v>
      </c>
      <c r="D1565" s="1" t="s">
        <v>3</v>
      </c>
      <c r="E1565" s="1" t="s">
        <v>4</v>
      </c>
      <c r="F1565" s="2" t="s">
        <v>5</v>
      </c>
      <c r="G1565" s="3" t="s">
        <v>6</v>
      </c>
      <c r="H1565" s="3" t="s">
        <v>7</v>
      </c>
      <c r="I1565" s="4" t="s">
        <v>8</v>
      </c>
      <c r="J1565" s="2" t="s">
        <v>9</v>
      </c>
      <c r="K1565" s="3" t="s">
        <v>10</v>
      </c>
      <c r="L1565" s="2" t="s">
        <v>9</v>
      </c>
    </row>
    <row r="1566" spans="1:12" x14ac:dyDescent="0.25">
      <c r="A1566" s="5">
        <v>45968</v>
      </c>
      <c r="B1566" t="s">
        <v>214</v>
      </c>
      <c r="D1566" t="s">
        <v>25</v>
      </c>
      <c r="G1566" t="s">
        <v>803</v>
      </c>
      <c r="I1566" t="s">
        <v>804</v>
      </c>
      <c r="J1566" s="6">
        <v>350000</v>
      </c>
    </row>
    <row r="1567" spans="1:12" x14ac:dyDescent="0.25">
      <c r="I1567" t="s">
        <v>805</v>
      </c>
    </row>
    <row r="1568" spans="1:12" x14ac:dyDescent="0.25">
      <c r="I1568" t="s">
        <v>61</v>
      </c>
      <c r="J1568" s="6">
        <v>150000</v>
      </c>
    </row>
    <row r="1569" spans="1:12" x14ac:dyDescent="0.25">
      <c r="I1569" t="s">
        <v>107</v>
      </c>
      <c r="J1569" s="6">
        <v>42000</v>
      </c>
    </row>
    <row r="1570" spans="1:12" x14ac:dyDescent="0.25">
      <c r="I1570" t="s">
        <v>34</v>
      </c>
      <c r="J1570" s="6">
        <v>18000</v>
      </c>
    </row>
    <row r="1571" spans="1:12" x14ac:dyDescent="0.25">
      <c r="I1571" t="s">
        <v>19</v>
      </c>
      <c r="J1571" s="6">
        <v>90000</v>
      </c>
    </row>
    <row r="1573" spans="1:12" x14ac:dyDescent="0.25">
      <c r="I1573" t="s">
        <v>22</v>
      </c>
      <c r="J1573" s="6">
        <f>SUM(J1566:J1572)</f>
        <v>650000</v>
      </c>
    </row>
    <row r="1575" spans="1:12" x14ac:dyDescent="0.25">
      <c r="A1575" s="1" t="s">
        <v>0</v>
      </c>
      <c r="B1575" s="1" t="s">
        <v>1</v>
      </c>
      <c r="C1575" s="1" t="s">
        <v>2</v>
      </c>
      <c r="D1575" s="1" t="s">
        <v>3</v>
      </c>
      <c r="E1575" s="1" t="s">
        <v>4</v>
      </c>
      <c r="F1575" s="2" t="s">
        <v>5</v>
      </c>
      <c r="G1575" s="3" t="s">
        <v>6</v>
      </c>
      <c r="H1575" s="3" t="s">
        <v>7</v>
      </c>
      <c r="I1575" s="4" t="s">
        <v>8</v>
      </c>
      <c r="J1575" s="2" t="s">
        <v>9</v>
      </c>
      <c r="K1575" s="3" t="s">
        <v>10</v>
      </c>
      <c r="L1575" s="2" t="s">
        <v>9</v>
      </c>
    </row>
    <row r="1576" spans="1:12" x14ac:dyDescent="0.25">
      <c r="A1576" s="5">
        <v>45968</v>
      </c>
      <c r="B1576" t="s">
        <v>806</v>
      </c>
      <c r="C1576" t="s">
        <v>807</v>
      </c>
      <c r="D1576" t="s">
        <v>25</v>
      </c>
      <c r="F1576" s="6">
        <v>5359</v>
      </c>
      <c r="G1576" t="s">
        <v>819</v>
      </c>
      <c r="H1576">
        <v>3163971569</v>
      </c>
      <c r="I1576" t="s">
        <v>36</v>
      </c>
    </row>
    <row r="1577" spans="1:12" x14ac:dyDescent="0.25">
      <c r="I1577" t="s">
        <v>808</v>
      </c>
      <c r="J1577" s="6">
        <v>40000</v>
      </c>
    </row>
    <row r="1579" spans="1:12" x14ac:dyDescent="0.25">
      <c r="I1579" t="s">
        <v>22</v>
      </c>
    </row>
    <row r="1581" spans="1:12" x14ac:dyDescent="0.25">
      <c r="A1581" s="1" t="s">
        <v>0</v>
      </c>
      <c r="B1581" s="1" t="s">
        <v>1</v>
      </c>
      <c r="C1581" s="1" t="s">
        <v>2</v>
      </c>
      <c r="D1581" s="1" t="s">
        <v>3</v>
      </c>
      <c r="E1581" s="1" t="s">
        <v>4</v>
      </c>
      <c r="F1581" s="2" t="s">
        <v>5</v>
      </c>
      <c r="G1581" s="3" t="s">
        <v>6</v>
      </c>
      <c r="H1581" s="3" t="s">
        <v>7</v>
      </c>
      <c r="I1581" s="4" t="s">
        <v>8</v>
      </c>
      <c r="J1581" s="2" t="s">
        <v>9</v>
      </c>
      <c r="K1581" s="3" t="s">
        <v>10</v>
      </c>
      <c r="L1581" s="2" t="s">
        <v>9</v>
      </c>
    </row>
    <row r="1582" spans="1:12" x14ac:dyDescent="0.25">
      <c r="A1582" s="5">
        <v>45969</v>
      </c>
      <c r="B1582" t="s">
        <v>31</v>
      </c>
      <c r="C1582" t="s">
        <v>809</v>
      </c>
      <c r="D1582" t="s">
        <v>25</v>
      </c>
      <c r="F1582" s="6">
        <v>56284</v>
      </c>
      <c r="I1582" t="s">
        <v>263</v>
      </c>
      <c r="J1582" s="6">
        <v>20000</v>
      </c>
    </row>
    <row r="1583" spans="1:12" x14ac:dyDescent="0.25">
      <c r="I1583" t="s">
        <v>34</v>
      </c>
      <c r="J1583" s="6">
        <v>200000</v>
      </c>
    </row>
    <row r="1584" spans="1:12" x14ac:dyDescent="0.25">
      <c r="I1584" t="s">
        <v>19</v>
      </c>
      <c r="J1584" s="6">
        <v>46000</v>
      </c>
    </row>
    <row r="1585" spans="1:12" x14ac:dyDescent="0.25">
      <c r="I1585" t="s">
        <v>35</v>
      </c>
      <c r="J1585" s="6">
        <v>150000</v>
      </c>
    </row>
    <row r="1586" spans="1:12" x14ac:dyDescent="0.25">
      <c r="I1586" t="s">
        <v>198</v>
      </c>
      <c r="J1586" s="6">
        <v>240000</v>
      </c>
    </row>
    <row r="1587" spans="1:12" x14ac:dyDescent="0.25">
      <c r="I1587" t="s">
        <v>61</v>
      </c>
      <c r="J1587" s="6">
        <v>60000</v>
      </c>
    </row>
    <row r="1589" spans="1:12" x14ac:dyDescent="0.25">
      <c r="I1589" t="s">
        <v>22</v>
      </c>
      <c r="J1589" s="6">
        <f>SUM(J1582:J1588)</f>
        <v>716000</v>
      </c>
    </row>
    <row r="1591" spans="1:12" x14ac:dyDescent="0.25">
      <c r="A1591" s="1" t="s">
        <v>0</v>
      </c>
      <c r="B1591" s="1" t="s">
        <v>1</v>
      </c>
      <c r="C1591" s="1" t="s">
        <v>2</v>
      </c>
      <c r="D1591" s="1" t="s">
        <v>3</v>
      </c>
      <c r="E1591" s="1" t="s">
        <v>4</v>
      </c>
      <c r="F1591" s="2" t="s">
        <v>5</v>
      </c>
      <c r="G1591" s="3" t="s">
        <v>6</v>
      </c>
      <c r="H1591" s="3" t="s">
        <v>7</v>
      </c>
      <c r="I1591" s="4" t="s">
        <v>8</v>
      </c>
      <c r="J1591" s="2" t="s">
        <v>9</v>
      </c>
      <c r="K1591" s="3" t="s">
        <v>10</v>
      </c>
      <c r="L1591" s="2" t="s">
        <v>9</v>
      </c>
    </row>
    <row r="1592" spans="1:12" x14ac:dyDescent="0.25">
      <c r="A1592" s="5">
        <v>45969</v>
      </c>
      <c r="B1592" t="s">
        <v>813</v>
      </c>
      <c r="C1592" t="s">
        <v>814</v>
      </c>
      <c r="D1592" t="s">
        <v>227</v>
      </c>
      <c r="E1592">
        <v>2021</v>
      </c>
      <c r="F1592" s="6">
        <v>36944</v>
      </c>
      <c r="G1592" t="s">
        <v>815</v>
      </c>
      <c r="H1592">
        <v>3138101210</v>
      </c>
      <c r="I1592" t="s">
        <v>188</v>
      </c>
      <c r="J1592" s="6">
        <v>420000</v>
      </c>
    </row>
    <row r="1593" spans="1:12" x14ac:dyDescent="0.25">
      <c r="I1593" t="s">
        <v>21</v>
      </c>
      <c r="J1593" s="6">
        <v>25000</v>
      </c>
    </row>
    <row r="1594" spans="1:12" x14ac:dyDescent="0.25">
      <c r="I1594" t="s">
        <v>18</v>
      </c>
      <c r="J1594" s="6">
        <v>25000</v>
      </c>
    </row>
    <row r="1596" spans="1:12" x14ac:dyDescent="0.25">
      <c r="I1596" t="s">
        <v>22</v>
      </c>
      <c r="J1596" s="6">
        <f>SUM(J1592:J1595)</f>
        <v>470000</v>
      </c>
    </row>
    <row r="1598" spans="1:12" x14ac:dyDescent="0.25">
      <c r="A1598" s="1" t="s">
        <v>0</v>
      </c>
      <c r="B1598" s="1" t="s">
        <v>1</v>
      </c>
      <c r="C1598" s="1" t="s">
        <v>2</v>
      </c>
      <c r="D1598" s="1" t="s">
        <v>3</v>
      </c>
      <c r="E1598" s="1" t="s">
        <v>4</v>
      </c>
      <c r="F1598" s="2" t="s">
        <v>5</v>
      </c>
      <c r="G1598" s="3" t="s">
        <v>6</v>
      </c>
      <c r="H1598" s="3" t="s">
        <v>7</v>
      </c>
      <c r="I1598" s="4" t="s">
        <v>8</v>
      </c>
      <c r="J1598" s="2" t="s">
        <v>9</v>
      </c>
      <c r="K1598" s="3" t="s">
        <v>10</v>
      </c>
      <c r="L1598" s="2" t="s">
        <v>9</v>
      </c>
    </row>
    <row r="1599" spans="1:12" x14ac:dyDescent="0.25">
      <c r="A1599" s="5">
        <v>45969</v>
      </c>
      <c r="B1599" t="s">
        <v>190</v>
      </c>
      <c r="C1599" t="s">
        <v>191</v>
      </c>
      <c r="D1599" t="s">
        <v>25</v>
      </c>
      <c r="F1599" s="6">
        <v>51999</v>
      </c>
      <c r="G1599" t="s">
        <v>657</v>
      </c>
      <c r="I1599" t="s">
        <v>816</v>
      </c>
      <c r="J1599" s="6">
        <v>80000</v>
      </c>
    </row>
    <row r="1600" spans="1:12" x14ac:dyDescent="0.25">
      <c r="I1600" t="s">
        <v>817</v>
      </c>
      <c r="J1600" s="6">
        <v>350000</v>
      </c>
    </row>
    <row r="1601" spans="1:12" x14ac:dyDescent="0.25">
      <c r="I1601" t="s">
        <v>818</v>
      </c>
    </row>
    <row r="1603" spans="1:12" x14ac:dyDescent="0.25">
      <c r="I1603" t="s">
        <v>22</v>
      </c>
      <c r="J1603" s="6">
        <f>SUM(J1599:J1602)</f>
        <v>430000</v>
      </c>
    </row>
    <row r="1605" spans="1:12" x14ac:dyDescent="0.25">
      <c r="A1605" s="1" t="s">
        <v>0</v>
      </c>
      <c r="B1605" s="1" t="s">
        <v>1</v>
      </c>
      <c r="C1605" s="1" t="s">
        <v>2</v>
      </c>
      <c r="D1605" s="1" t="s">
        <v>3</v>
      </c>
      <c r="E1605" s="1" t="s">
        <v>4</v>
      </c>
      <c r="F1605" s="2" t="s">
        <v>5</v>
      </c>
      <c r="G1605" s="3" t="s">
        <v>6</v>
      </c>
      <c r="H1605" s="3" t="s">
        <v>7</v>
      </c>
      <c r="I1605" s="4" t="s">
        <v>8</v>
      </c>
      <c r="J1605" s="2" t="s">
        <v>9</v>
      </c>
      <c r="K1605" s="3" t="s">
        <v>10</v>
      </c>
      <c r="L1605" s="2" t="s">
        <v>9</v>
      </c>
    </row>
    <row r="1606" spans="1:12" x14ac:dyDescent="0.25">
      <c r="A1606" s="5">
        <v>45969</v>
      </c>
      <c r="B1606" t="s">
        <v>1242</v>
      </c>
      <c r="C1606" t="s">
        <v>1239</v>
      </c>
      <c r="E1606">
        <v>2017</v>
      </c>
      <c r="F1606" s="6">
        <v>20384</v>
      </c>
      <c r="G1606" t="s">
        <v>1240</v>
      </c>
      <c r="I1606" t="s">
        <v>188</v>
      </c>
    </row>
    <row r="1607" spans="1:12" x14ac:dyDescent="0.25">
      <c r="I1607" t="s">
        <v>1210</v>
      </c>
    </row>
    <row r="1608" spans="1:12" x14ac:dyDescent="0.25">
      <c r="I1608" t="s">
        <v>1241</v>
      </c>
    </row>
    <row r="1609" spans="1:12" x14ac:dyDescent="0.25">
      <c r="I1609" t="s">
        <v>1210</v>
      </c>
    </row>
    <row r="1611" spans="1:12" x14ac:dyDescent="0.25">
      <c r="I1611" t="s">
        <v>22</v>
      </c>
    </row>
    <row r="1613" spans="1:12" x14ac:dyDescent="0.25">
      <c r="A1613" s="1" t="s">
        <v>0</v>
      </c>
      <c r="B1613" s="1" t="s">
        <v>1</v>
      </c>
      <c r="C1613" s="1" t="s">
        <v>2</v>
      </c>
      <c r="D1613" s="1" t="s">
        <v>3</v>
      </c>
      <c r="E1613" s="1" t="s">
        <v>4</v>
      </c>
      <c r="F1613" s="2" t="s">
        <v>5</v>
      </c>
      <c r="G1613" s="3" t="s">
        <v>6</v>
      </c>
      <c r="H1613" s="3" t="s">
        <v>7</v>
      </c>
      <c r="I1613" s="4" t="s">
        <v>8</v>
      </c>
      <c r="J1613" s="2" t="s">
        <v>9</v>
      </c>
      <c r="K1613" s="3" t="s">
        <v>10</v>
      </c>
      <c r="L1613" s="2" t="s">
        <v>9</v>
      </c>
    </row>
    <row r="1614" spans="1:12" x14ac:dyDescent="0.25">
      <c r="A1614" s="5">
        <v>45971</v>
      </c>
      <c r="B1614" t="s">
        <v>31</v>
      </c>
      <c r="C1614" t="s">
        <v>843</v>
      </c>
      <c r="E1614">
        <v>2015</v>
      </c>
      <c r="F1614" s="6">
        <v>128000</v>
      </c>
      <c r="G1614" t="s">
        <v>844</v>
      </c>
      <c r="H1614">
        <v>3116311664</v>
      </c>
      <c r="I1614" t="s">
        <v>103</v>
      </c>
      <c r="J1614" s="6">
        <v>1500000</v>
      </c>
    </row>
    <row r="1615" spans="1:12" x14ac:dyDescent="0.25">
      <c r="I1615" t="s">
        <v>845</v>
      </c>
      <c r="J1615" s="6">
        <v>150000</v>
      </c>
    </row>
    <row r="1616" spans="1:12" x14ac:dyDescent="0.25">
      <c r="I1616" t="s">
        <v>568</v>
      </c>
      <c r="J1616" s="6">
        <v>180000</v>
      </c>
    </row>
    <row r="1617" spans="1:12" x14ac:dyDescent="0.25">
      <c r="I1617" t="s">
        <v>846</v>
      </c>
      <c r="J1617" s="6">
        <v>800000</v>
      </c>
    </row>
    <row r="1618" spans="1:12" x14ac:dyDescent="0.25">
      <c r="I1618" t="s">
        <v>847</v>
      </c>
      <c r="J1618" s="6">
        <v>400000</v>
      </c>
    </row>
    <row r="1619" spans="1:12" x14ac:dyDescent="0.25">
      <c r="I1619" t="s">
        <v>107</v>
      </c>
      <c r="J1619" s="6">
        <v>116000</v>
      </c>
    </row>
    <row r="1620" spans="1:12" x14ac:dyDescent="0.25">
      <c r="I1620" t="s">
        <v>198</v>
      </c>
      <c r="J1620" s="6">
        <v>160000</v>
      </c>
    </row>
    <row r="1621" spans="1:12" x14ac:dyDescent="0.25">
      <c r="I1621" t="s">
        <v>848</v>
      </c>
      <c r="J1621" s="6">
        <v>98000</v>
      </c>
    </row>
    <row r="1622" spans="1:12" x14ac:dyDescent="0.25">
      <c r="I1622" t="s">
        <v>123</v>
      </c>
      <c r="J1622" s="6">
        <v>140000</v>
      </c>
    </row>
    <row r="1624" spans="1:12" x14ac:dyDescent="0.25">
      <c r="I1624" t="s">
        <v>22</v>
      </c>
      <c r="J1624" s="6">
        <f>SUM(J1614:J1623)</f>
        <v>3544000</v>
      </c>
    </row>
    <row r="1626" spans="1:12" x14ac:dyDescent="0.25">
      <c r="A1626" s="1" t="s">
        <v>0</v>
      </c>
      <c r="B1626" s="1" t="s">
        <v>1</v>
      </c>
      <c r="C1626" s="1" t="s">
        <v>2</v>
      </c>
      <c r="D1626" s="1" t="s">
        <v>3</v>
      </c>
      <c r="E1626" s="1" t="s">
        <v>4</v>
      </c>
      <c r="F1626" s="2" t="s">
        <v>5</v>
      </c>
      <c r="G1626" s="3" t="s">
        <v>6</v>
      </c>
      <c r="H1626" s="3" t="s">
        <v>7</v>
      </c>
      <c r="I1626" s="4" t="s">
        <v>8</v>
      </c>
      <c r="J1626" s="2" t="s">
        <v>9</v>
      </c>
      <c r="K1626" s="3" t="s">
        <v>10</v>
      </c>
      <c r="L1626" s="2" t="s">
        <v>9</v>
      </c>
    </row>
    <row r="1627" spans="1:12" x14ac:dyDescent="0.25">
      <c r="A1627" s="5">
        <v>45971</v>
      </c>
      <c r="B1627" t="s">
        <v>810</v>
      </c>
      <c r="C1627" t="s">
        <v>811</v>
      </c>
      <c r="D1627" t="s">
        <v>45</v>
      </c>
      <c r="F1627" s="6">
        <v>29797</v>
      </c>
      <c r="G1627" t="s">
        <v>812</v>
      </c>
      <c r="H1627">
        <v>3136054097</v>
      </c>
      <c r="I1627" t="s">
        <v>36</v>
      </c>
      <c r="J1627" s="6">
        <v>150000</v>
      </c>
    </row>
    <row r="1628" spans="1:12" x14ac:dyDescent="0.25">
      <c r="I1628" t="s">
        <v>34</v>
      </c>
      <c r="J1628" s="6">
        <v>100000</v>
      </c>
    </row>
    <row r="1629" spans="1:12" x14ac:dyDescent="0.25">
      <c r="I1629" t="s">
        <v>19</v>
      </c>
      <c r="J1629" s="6">
        <v>46000</v>
      </c>
    </row>
    <row r="1630" spans="1:12" x14ac:dyDescent="0.25">
      <c r="I1630" t="s">
        <v>21</v>
      </c>
      <c r="J1630" s="6">
        <v>25000</v>
      </c>
    </row>
    <row r="1632" spans="1:12" x14ac:dyDescent="0.25">
      <c r="I1632" t="s">
        <v>22</v>
      </c>
      <c r="J1632" s="6">
        <f>SUM(J1627:J1631)</f>
        <v>321000</v>
      </c>
    </row>
    <row r="1634" spans="1:12" x14ac:dyDescent="0.25">
      <c r="A1634" s="1" t="s">
        <v>0</v>
      </c>
      <c r="B1634" s="1" t="s">
        <v>1</v>
      </c>
      <c r="C1634" s="1" t="s">
        <v>2</v>
      </c>
      <c r="D1634" s="1" t="s">
        <v>3</v>
      </c>
      <c r="E1634" s="1" t="s">
        <v>4</v>
      </c>
      <c r="F1634" s="2" t="s">
        <v>5</v>
      </c>
      <c r="G1634" s="3" t="s">
        <v>6</v>
      </c>
      <c r="H1634" s="3" t="s">
        <v>7</v>
      </c>
      <c r="I1634" s="4" t="s">
        <v>8</v>
      </c>
      <c r="J1634" s="2" t="s">
        <v>9</v>
      </c>
      <c r="K1634" s="3" t="s">
        <v>10</v>
      </c>
      <c r="L1634" s="2" t="s">
        <v>9</v>
      </c>
    </row>
    <row r="1635" spans="1:12" x14ac:dyDescent="0.25">
      <c r="A1635" s="5">
        <v>45971</v>
      </c>
      <c r="B1635" t="s">
        <v>31</v>
      </c>
      <c r="C1635" t="s">
        <v>820</v>
      </c>
      <c r="D1635" t="s">
        <v>25</v>
      </c>
      <c r="F1635" s="6">
        <v>10303</v>
      </c>
      <c r="G1635" t="s">
        <v>821</v>
      </c>
      <c r="I1635" t="s">
        <v>34</v>
      </c>
      <c r="J1635" s="6">
        <v>208000</v>
      </c>
    </row>
    <row r="1636" spans="1:12" x14ac:dyDescent="0.25">
      <c r="I1636" t="s">
        <v>19</v>
      </c>
      <c r="J1636" s="6">
        <v>46000</v>
      </c>
    </row>
    <row r="1637" spans="1:12" x14ac:dyDescent="0.25">
      <c r="I1637" t="s">
        <v>37</v>
      </c>
      <c r="J1637" s="6">
        <v>40000</v>
      </c>
    </row>
    <row r="1638" spans="1:12" x14ac:dyDescent="0.25">
      <c r="I1638" t="s">
        <v>61</v>
      </c>
      <c r="J1638" s="6">
        <v>40000</v>
      </c>
    </row>
    <row r="1640" spans="1:12" x14ac:dyDescent="0.25">
      <c r="I1640" t="s">
        <v>22</v>
      </c>
      <c r="J1640" s="6">
        <f>SUM(J1635:J1639)</f>
        <v>334000</v>
      </c>
    </row>
    <row r="1642" spans="1:12" x14ac:dyDescent="0.25">
      <c r="A1642" s="1" t="s">
        <v>0</v>
      </c>
      <c r="B1642" s="1" t="s">
        <v>1</v>
      </c>
      <c r="C1642" s="1" t="s">
        <v>2</v>
      </c>
      <c r="D1642" s="1" t="s">
        <v>3</v>
      </c>
      <c r="E1642" s="1" t="s">
        <v>4</v>
      </c>
      <c r="F1642" s="2" t="s">
        <v>5</v>
      </c>
      <c r="G1642" s="3" t="s">
        <v>6</v>
      </c>
      <c r="H1642" s="3" t="s">
        <v>7</v>
      </c>
      <c r="I1642" s="4" t="s">
        <v>8</v>
      </c>
      <c r="J1642" s="2" t="s">
        <v>9</v>
      </c>
      <c r="K1642" s="3" t="s">
        <v>10</v>
      </c>
      <c r="L1642" s="2" t="s">
        <v>9</v>
      </c>
    </row>
    <row r="1643" spans="1:12" x14ac:dyDescent="0.25">
      <c r="A1643" s="5">
        <v>45971</v>
      </c>
      <c r="B1643" t="s">
        <v>31</v>
      </c>
      <c r="C1643" t="s">
        <v>533</v>
      </c>
      <c r="D1643" t="s">
        <v>45</v>
      </c>
      <c r="F1643" s="6">
        <v>55028</v>
      </c>
      <c r="G1643" t="s">
        <v>534</v>
      </c>
      <c r="I1643" t="s">
        <v>1224</v>
      </c>
    </row>
    <row r="1644" spans="1:12" x14ac:dyDescent="0.25">
      <c r="I1644" t="s">
        <v>1203</v>
      </c>
    </row>
    <row r="1645" spans="1:12" x14ac:dyDescent="0.25">
      <c r="I1645" t="s">
        <v>1225</v>
      </c>
    </row>
    <row r="1646" spans="1:12" x14ac:dyDescent="0.25">
      <c r="I1646" t="s">
        <v>1226</v>
      </c>
    </row>
    <row r="1648" spans="1:12" x14ac:dyDescent="0.25">
      <c r="I1648" t="s">
        <v>22</v>
      </c>
    </row>
    <row r="1650" spans="1:12" x14ac:dyDescent="0.25">
      <c r="A1650" s="1" t="s">
        <v>0</v>
      </c>
      <c r="B1650" s="1" t="s">
        <v>1</v>
      </c>
      <c r="C1650" s="1" t="s">
        <v>2</v>
      </c>
      <c r="D1650" s="1" t="s">
        <v>3</v>
      </c>
      <c r="E1650" s="1" t="s">
        <v>4</v>
      </c>
      <c r="F1650" s="2" t="s">
        <v>5</v>
      </c>
      <c r="G1650" s="3" t="s">
        <v>6</v>
      </c>
      <c r="H1650" s="3" t="s">
        <v>7</v>
      </c>
      <c r="I1650" s="4" t="s">
        <v>8</v>
      </c>
      <c r="J1650" s="2" t="s">
        <v>9</v>
      </c>
      <c r="K1650" s="3" t="s">
        <v>10</v>
      </c>
      <c r="L1650" s="2" t="s">
        <v>9</v>
      </c>
    </row>
    <row r="1651" spans="1:12" x14ac:dyDescent="0.25">
      <c r="A1651" s="5">
        <v>45972</v>
      </c>
      <c r="B1651" t="s">
        <v>637</v>
      </c>
      <c r="C1651" t="s">
        <v>1227</v>
      </c>
      <c r="G1651" t="s">
        <v>836</v>
      </c>
      <c r="H1651">
        <v>3017475250</v>
      </c>
      <c r="I1651" t="s">
        <v>1228</v>
      </c>
    </row>
    <row r="1653" spans="1:12" x14ac:dyDescent="0.25">
      <c r="I1653" t="s">
        <v>22</v>
      </c>
    </row>
    <row r="1655" spans="1:12" x14ac:dyDescent="0.25">
      <c r="A1655" s="1" t="s">
        <v>0</v>
      </c>
      <c r="B1655" s="1" t="s">
        <v>1</v>
      </c>
      <c r="C1655" s="1" t="s">
        <v>2</v>
      </c>
      <c r="D1655" s="1" t="s">
        <v>3</v>
      </c>
      <c r="E1655" s="1" t="s">
        <v>4</v>
      </c>
      <c r="F1655" s="2" t="s">
        <v>5</v>
      </c>
      <c r="G1655" s="3" t="s">
        <v>6</v>
      </c>
      <c r="H1655" s="3" t="s">
        <v>7</v>
      </c>
      <c r="I1655" s="4" t="s">
        <v>8</v>
      </c>
      <c r="J1655" s="2" t="s">
        <v>9</v>
      </c>
      <c r="K1655" s="3" t="s">
        <v>10</v>
      </c>
      <c r="L1655" s="2" t="s">
        <v>9</v>
      </c>
    </row>
    <row r="1656" spans="1:12" x14ac:dyDescent="0.25">
      <c r="A1656" s="5">
        <v>45972</v>
      </c>
      <c r="B1656" t="s">
        <v>822</v>
      </c>
      <c r="C1656" t="s">
        <v>823</v>
      </c>
      <c r="E1656">
        <v>2025</v>
      </c>
      <c r="F1656" s="6">
        <v>5136</v>
      </c>
      <c r="G1656" t="s">
        <v>824</v>
      </c>
      <c r="H1656">
        <v>3208781552</v>
      </c>
      <c r="I1656" t="s">
        <v>34</v>
      </c>
      <c r="J1656" s="6">
        <v>55000</v>
      </c>
    </row>
    <row r="1657" spans="1:12" x14ac:dyDescent="0.25">
      <c r="I1657" t="s">
        <v>825</v>
      </c>
      <c r="J1657" s="6">
        <v>30000</v>
      </c>
    </row>
    <row r="1658" spans="1:12" x14ac:dyDescent="0.25">
      <c r="I1658" t="s">
        <v>826</v>
      </c>
      <c r="J1658" s="6">
        <v>35000</v>
      </c>
    </row>
    <row r="1659" spans="1:12" x14ac:dyDescent="0.25">
      <c r="I1659" t="s">
        <v>827</v>
      </c>
      <c r="J1659" s="6">
        <v>15000</v>
      </c>
    </row>
    <row r="1660" spans="1:12" x14ac:dyDescent="0.25">
      <c r="I1660" t="s">
        <v>163</v>
      </c>
      <c r="J1660" s="6">
        <v>6000</v>
      </c>
    </row>
    <row r="1662" spans="1:12" x14ac:dyDescent="0.25">
      <c r="I1662" t="s">
        <v>22</v>
      </c>
      <c r="J1662" s="6">
        <f>SUM(J1656:J1661)</f>
        <v>141000</v>
      </c>
    </row>
    <row r="1664" spans="1:12" x14ac:dyDescent="0.25">
      <c r="A1664" s="1" t="s">
        <v>0</v>
      </c>
      <c r="B1664" s="1" t="s">
        <v>1</v>
      </c>
      <c r="C1664" s="1" t="s">
        <v>2</v>
      </c>
      <c r="D1664" s="1" t="s">
        <v>3</v>
      </c>
      <c r="E1664" s="1" t="s">
        <v>4</v>
      </c>
      <c r="F1664" s="2" t="s">
        <v>5</v>
      </c>
      <c r="G1664" s="3" t="s">
        <v>6</v>
      </c>
      <c r="H1664" s="3" t="s">
        <v>7</v>
      </c>
      <c r="I1664" s="4" t="s">
        <v>8</v>
      </c>
      <c r="J1664" s="2" t="s">
        <v>9</v>
      </c>
      <c r="K1664" s="3" t="s">
        <v>10</v>
      </c>
      <c r="L1664" s="2" t="s">
        <v>9</v>
      </c>
    </row>
    <row r="1665" spans="1:12" x14ac:dyDescent="0.25">
      <c r="A1665" s="5">
        <v>45972</v>
      </c>
      <c r="B1665" t="s">
        <v>647</v>
      </c>
      <c r="C1665" t="s">
        <v>828</v>
      </c>
      <c r="D1665" t="s">
        <v>45</v>
      </c>
      <c r="E1665">
        <v>2015</v>
      </c>
      <c r="F1665" s="6">
        <v>110659</v>
      </c>
      <c r="G1665" t="s">
        <v>829</v>
      </c>
      <c r="H1665">
        <v>3104128609</v>
      </c>
      <c r="I1665" t="s">
        <v>34</v>
      </c>
      <c r="J1665" s="6">
        <v>283000</v>
      </c>
    </row>
    <row r="1666" spans="1:12" x14ac:dyDescent="0.25">
      <c r="I1666" t="s">
        <v>19</v>
      </c>
      <c r="J1666" s="6">
        <v>46000</v>
      </c>
    </row>
    <row r="1667" spans="1:12" x14ac:dyDescent="0.25">
      <c r="I1667" t="s">
        <v>163</v>
      </c>
      <c r="J1667" s="6">
        <v>6000</v>
      </c>
    </row>
    <row r="1668" spans="1:12" x14ac:dyDescent="0.25">
      <c r="I1668" t="s">
        <v>414</v>
      </c>
    </row>
    <row r="1669" spans="1:12" x14ac:dyDescent="0.25">
      <c r="I1669" t="s">
        <v>50</v>
      </c>
      <c r="J1669" s="6">
        <v>120000</v>
      </c>
    </row>
    <row r="1670" spans="1:12" x14ac:dyDescent="0.25">
      <c r="I1670" t="s">
        <v>830</v>
      </c>
      <c r="J1670" s="6">
        <v>150000</v>
      </c>
    </row>
    <row r="1672" spans="1:12" x14ac:dyDescent="0.25">
      <c r="I1672" t="s">
        <v>22</v>
      </c>
      <c r="J1672" s="6">
        <f>SUM(J1665:J1671)</f>
        <v>605000</v>
      </c>
    </row>
    <row r="1674" spans="1:12" x14ac:dyDescent="0.25">
      <c r="A1674" s="1" t="s">
        <v>0</v>
      </c>
      <c r="B1674" s="1" t="s">
        <v>1</v>
      </c>
      <c r="C1674" s="1" t="s">
        <v>2</v>
      </c>
      <c r="D1674" s="1" t="s">
        <v>3</v>
      </c>
      <c r="E1674" s="1" t="s">
        <v>4</v>
      </c>
      <c r="F1674" s="2" t="s">
        <v>5</v>
      </c>
      <c r="G1674" s="3" t="s">
        <v>6</v>
      </c>
      <c r="H1674" s="3" t="s">
        <v>7</v>
      </c>
      <c r="I1674" s="4" t="s">
        <v>8</v>
      </c>
      <c r="J1674" s="2" t="s">
        <v>9</v>
      </c>
      <c r="K1674" s="3" t="s">
        <v>10</v>
      </c>
      <c r="L1674" s="2" t="s">
        <v>9</v>
      </c>
    </row>
    <row r="1675" spans="1:12" x14ac:dyDescent="0.25">
      <c r="A1675" s="5">
        <v>45972</v>
      </c>
      <c r="B1675" t="s">
        <v>31</v>
      </c>
      <c r="C1675" t="s">
        <v>831</v>
      </c>
      <c r="D1675" t="s">
        <v>45</v>
      </c>
      <c r="F1675" s="6">
        <v>63597</v>
      </c>
      <c r="G1675" t="s">
        <v>832</v>
      </c>
      <c r="I1675" t="s">
        <v>483</v>
      </c>
      <c r="J1675" s="6">
        <v>150000</v>
      </c>
    </row>
    <row r="1676" spans="1:12" x14ac:dyDescent="0.25">
      <c r="I1676" t="s">
        <v>833</v>
      </c>
      <c r="J1676" s="6">
        <v>180000</v>
      </c>
    </row>
    <row r="1677" spans="1:12" x14ac:dyDescent="0.25">
      <c r="I1677" t="s">
        <v>224</v>
      </c>
      <c r="J1677" s="6">
        <v>360000</v>
      </c>
    </row>
    <row r="1678" spans="1:12" x14ac:dyDescent="0.25">
      <c r="I1678" t="s">
        <v>34</v>
      </c>
      <c r="J1678" s="6">
        <v>208000</v>
      </c>
    </row>
    <row r="1679" spans="1:12" x14ac:dyDescent="0.25">
      <c r="I1679" t="s">
        <v>19</v>
      </c>
      <c r="J1679" s="6">
        <v>46000</v>
      </c>
    </row>
    <row r="1680" spans="1:12" x14ac:dyDescent="0.25">
      <c r="I1680" t="s">
        <v>107</v>
      </c>
      <c r="J1680" s="6">
        <v>120000</v>
      </c>
    </row>
    <row r="1681" spans="1:12" x14ac:dyDescent="0.25">
      <c r="I1681" t="s">
        <v>37</v>
      </c>
      <c r="J1681" s="6">
        <v>40000</v>
      </c>
    </row>
    <row r="1683" spans="1:12" x14ac:dyDescent="0.25">
      <c r="I1683" t="s">
        <v>22</v>
      </c>
      <c r="J1683" s="6">
        <f>SUM(J1675:J1682)</f>
        <v>1104000</v>
      </c>
    </row>
    <row r="1685" spans="1:12" x14ac:dyDescent="0.25">
      <c r="A1685" s="1" t="s">
        <v>0</v>
      </c>
      <c r="B1685" s="1" t="s">
        <v>1</v>
      </c>
      <c r="C1685" s="1" t="s">
        <v>2</v>
      </c>
      <c r="D1685" s="1" t="s">
        <v>3</v>
      </c>
      <c r="E1685" s="1" t="s">
        <v>4</v>
      </c>
      <c r="F1685" s="2" t="s">
        <v>5</v>
      </c>
      <c r="G1685" s="3" t="s">
        <v>6</v>
      </c>
      <c r="H1685" s="3" t="s">
        <v>7</v>
      </c>
      <c r="I1685" s="4" t="s">
        <v>8</v>
      </c>
      <c r="J1685" s="2" t="s">
        <v>9</v>
      </c>
      <c r="K1685" s="3" t="s">
        <v>10</v>
      </c>
      <c r="L1685" s="2" t="s">
        <v>9</v>
      </c>
    </row>
    <row r="1686" spans="1:12" x14ac:dyDescent="0.25">
      <c r="A1686" s="5">
        <v>45972</v>
      </c>
      <c r="B1686" t="s">
        <v>1229</v>
      </c>
      <c r="C1686" t="s">
        <v>1230</v>
      </c>
      <c r="G1686" t="s">
        <v>1231</v>
      </c>
      <c r="H1686">
        <v>3006652259</v>
      </c>
      <c r="I1686" t="s">
        <v>34</v>
      </c>
    </row>
    <row r="1687" spans="1:12" x14ac:dyDescent="0.25">
      <c r="I1687" t="s">
        <v>163</v>
      </c>
    </row>
    <row r="1688" spans="1:12" x14ac:dyDescent="0.25">
      <c r="I1688" t="s">
        <v>1232</v>
      </c>
    </row>
    <row r="1690" spans="1:12" x14ac:dyDescent="0.25">
      <c r="I1690" t="s">
        <v>22</v>
      </c>
    </row>
    <row r="1692" spans="1:12" x14ac:dyDescent="0.25">
      <c r="A1692" s="1" t="s">
        <v>0</v>
      </c>
      <c r="B1692" s="1" t="s">
        <v>1</v>
      </c>
      <c r="C1692" s="1" t="s">
        <v>2</v>
      </c>
      <c r="D1692" s="1" t="s">
        <v>3</v>
      </c>
      <c r="E1692" s="1" t="s">
        <v>4</v>
      </c>
      <c r="F1692" s="2" t="s">
        <v>5</v>
      </c>
      <c r="G1692" s="3" t="s">
        <v>6</v>
      </c>
      <c r="H1692" s="3" t="s">
        <v>7</v>
      </c>
      <c r="I1692" s="4" t="s">
        <v>8</v>
      </c>
      <c r="J1692" s="2" t="s">
        <v>9</v>
      </c>
      <c r="K1692" s="3" t="s">
        <v>10</v>
      </c>
      <c r="L1692" s="2" t="s">
        <v>9</v>
      </c>
    </row>
    <row r="1693" spans="1:12" x14ac:dyDescent="0.25">
      <c r="A1693" s="5">
        <v>45972</v>
      </c>
      <c r="B1693" t="s">
        <v>31</v>
      </c>
      <c r="C1693" t="s">
        <v>1233</v>
      </c>
      <c r="D1693" t="s">
        <v>138</v>
      </c>
      <c r="E1693">
        <v>2015</v>
      </c>
      <c r="G1693" t="s">
        <v>1234</v>
      </c>
      <c r="I1693" t="s">
        <v>901</v>
      </c>
    </row>
    <row r="1694" spans="1:12" x14ac:dyDescent="0.25">
      <c r="I1694" t="s">
        <v>122</v>
      </c>
    </row>
    <row r="1695" spans="1:12" x14ac:dyDescent="0.25">
      <c r="I1695" t="s">
        <v>1235</v>
      </c>
    </row>
    <row r="1696" spans="1:12" x14ac:dyDescent="0.25">
      <c r="I1696" t="s">
        <v>483</v>
      </c>
    </row>
    <row r="1698" spans="1:12" x14ac:dyDescent="0.25">
      <c r="I1698" t="s">
        <v>22</v>
      </c>
    </row>
    <row r="1700" spans="1:12" x14ac:dyDescent="0.25">
      <c r="A1700" s="1" t="s">
        <v>0</v>
      </c>
      <c r="B1700" s="1" t="s">
        <v>1</v>
      </c>
      <c r="C1700" s="1" t="s">
        <v>2</v>
      </c>
      <c r="D1700" s="1" t="s">
        <v>3</v>
      </c>
      <c r="E1700" s="1" t="s">
        <v>4</v>
      </c>
      <c r="F1700" s="2" t="s">
        <v>5</v>
      </c>
      <c r="G1700" s="3" t="s">
        <v>6</v>
      </c>
      <c r="H1700" s="3" t="s">
        <v>7</v>
      </c>
      <c r="I1700" s="4" t="s">
        <v>8</v>
      </c>
      <c r="J1700" s="2" t="s">
        <v>9</v>
      </c>
      <c r="K1700" s="3" t="s">
        <v>10</v>
      </c>
      <c r="L1700" s="2" t="s">
        <v>9</v>
      </c>
    </row>
    <row r="1701" spans="1:12" x14ac:dyDescent="0.25">
      <c r="A1701" s="5">
        <v>45973</v>
      </c>
      <c r="B1701" t="s">
        <v>338</v>
      </c>
      <c r="C1701" t="s">
        <v>97</v>
      </c>
      <c r="E1701">
        <v>2020</v>
      </c>
      <c r="F1701" s="6">
        <v>43000</v>
      </c>
      <c r="G1701" t="s">
        <v>99</v>
      </c>
      <c r="H1701">
        <v>3138275107</v>
      </c>
      <c r="I1701" t="s">
        <v>1236</v>
      </c>
    </row>
    <row r="1702" spans="1:12" x14ac:dyDescent="0.25">
      <c r="I1702" t="s">
        <v>1237</v>
      </c>
    </row>
    <row r="1703" spans="1:12" x14ac:dyDescent="0.25">
      <c r="I1703" t="s">
        <v>1238</v>
      </c>
    </row>
    <row r="1705" spans="1:12" x14ac:dyDescent="0.25">
      <c r="I1705" t="s">
        <v>22</v>
      </c>
    </row>
    <row r="1707" spans="1:12" x14ac:dyDescent="0.25">
      <c r="A1707" s="1" t="s">
        <v>0</v>
      </c>
      <c r="B1707" s="1" t="s">
        <v>1</v>
      </c>
      <c r="C1707" s="1" t="s">
        <v>2</v>
      </c>
      <c r="D1707" s="1" t="s">
        <v>3</v>
      </c>
      <c r="E1707" s="1" t="s">
        <v>4</v>
      </c>
      <c r="F1707" s="2" t="s">
        <v>5</v>
      </c>
      <c r="G1707" s="3" t="s">
        <v>6</v>
      </c>
      <c r="H1707" s="3" t="s">
        <v>7</v>
      </c>
      <c r="I1707" s="4" t="s">
        <v>8</v>
      </c>
      <c r="J1707" s="2" t="s">
        <v>9</v>
      </c>
      <c r="K1707" s="3" t="s">
        <v>10</v>
      </c>
      <c r="L1707" s="2" t="s">
        <v>9</v>
      </c>
    </row>
    <row r="1708" spans="1:12" x14ac:dyDescent="0.25">
      <c r="A1708" s="5">
        <v>45973</v>
      </c>
      <c r="B1708" t="s">
        <v>834</v>
      </c>
      <c r="C1708" t="s">
        <v>835</v>
      </c>
      <c r="G1708" t="s">
        <v>836</v>
      </c>
      <c r="I1708" t="s">
        <v>837</v>
      </c>
      <c r="J1708" s="6">
        <v>120000</v>
      </c>
    </row>
    <row r="1709" spans="1:12" x14ac:dyDescent="0.25">
      <c r="I1709" t="s">
        <v>61</v>
      </c>
      <c r="J1709" s="6">
        <v>80000</v>
      </c>
    </row>
    <row r="1710" spans="1:12" x14ac:dyDescent="0.25">
      <c r="I1710" t="s">
        <v>838</v>
      </c>
      <c r="J1710" s="6">
        <v>15000</v>
      </c>
    </row>
    <row r="1711" spans="1:12" x14ac:dyDescent="0.25">
      <c r="I1711" t="s">
        <v>34</v>
      </c>
      <c r="J1711" s="6">
        <v>40000</v>
      </c>
    </row>
    <row r="1712" spans="1:12" x14ac:dyDescent="0.25">
      <c r="I1712" t="s">
        <v>19</v>
      </c>
      <c r="J1712" s="6">
        <v>16000</v>
      </c>
    </row>
    <row r="1714" spans="1:12" x14ac:dyDescent="0.25">
      <c r="I1714" t="s">
        <v>22</v>
      </c>
      <c r="J1714" s="6">
        <f>SUM(J1708:J1713)</f>
        <v>271000</v>
      </c>
    </row>
    <row r="1716" spans="1:12" x14ac:dyDescent="0.25">
      <c r="A1716" s="1" t="s">
        <v>0</v>
      </c>
      <c r="B1716" s="1" t="s">
        <v>1</v>
      </c>
      <c r="C1716" s="1" t="s">
        <v>2</v>
      </c>
      <c r="D1716" s="1" t="s">
        <v>3</v>
      </c>
      <c r="E1716" s="1" t="s">
        <v>4</v>
      </c>
      <c r="F1716" s="2" t="s">
        <v>5</v>
      </c>
      <c r="G1716" s="3" t="s">
        <v>6</v>
      </c>
      <c r="H1716" s="3" t="s">
        <v>7</v>
      </c>
      <c r="I1716" s="4" t="s">
        <v>8</v>
      </c>
      <c r="J1716" s="2" t="s">
        <v>9</v>
      </c>
      <c r="K1716" s="3" t="s">
        <v>10</v>
      </c>
      <c r="L1716" s="2" t="s">
        <v>9</v>
      </c>
    </row>
    <row r="1717" spans="1:12" x14ac:dyDescent="0.25">
      <c r="A1717" s="5">
        <v>45973</v>
      </c>
      <c r="B1717" t="s">
        <v>31</v>
      </c>
      <c r="C1717" t="s">
        <v>839</v>
      </c>
      <c r="D1717" t="s">
        <v>12</v>
      </c>
      <c r="F1717" s="6">
        <v>133149</v>
      </c>
      <c r="G1717" t="s">
        <v>840</v>
      </c>
      <c r="I1717" t="s">
        <v>263</v>
      </c>
      <c r="J1717" s="6">
        <v>40000</v>
      </c>
    </row>
    <row r="1718" spans="1:12" x14ac:dyDescent="0.25">
      <c r="I1718" t="s">
        <v>50</v>
      </c>
      <c r="J1718" s="6">
        <v>120000</v>
      </c>
    </row>
    <row r="1719" spans="1:12" x14ac:dyDescent="0.25">
      <c r="I1719" t="s">
        <v>488</v>
      </c>
      <c r="J1719" s="6">
        <v>30000</v>
      </c>
    </row>
    <row r="1721" spans="1:12" x14ac:dyDescent="0.25">
      <c r="I1721" t="s">
        <v>22</v>
      </c>
      <c r="J1721" s="6">
        <f>SUM(J1717:J1720)</f>
        <v>190000</v>
      </c>
    </row>
    <row r="1723" spans="1:12" x14ac:dyDescent="0.25">
      <c r="A1723" s="1" t="s">
        <v>0</v>
      </c>
      <c r="B1723" s="1" t="s">
        <v>1</v>
      </c>
      <c r="C1723" s="1" t="s">
        <v>2</v>
      </c>
      <c r="D1723" s="1" t="s">
        <v>3</v>
      </c>
      <c r="E1723" s="1" t="s">
        <v>4</v>
      </c>
      <c r="F1723" s="2" t="s">
        <v>5</v>
      </c>
      <c r="G1723" s="3" t="s">
        <v>6</v>
      </c>
      <c r="H1723" s="3" t="s">
        <v>7</v>
      </c>
      <c r="I1723" s="4" t="s">
        <v>8</v>
      </c>
      <c r="J1723" s="2" t="s">
        <v>9</v>
      </c>
      <c r="K1723" s="3" t="s">
        <v>10</v>
      </c>
      <c r="L1723" s="2" t="s">
        <v>9</v>
      </c>
    </row>
    <row r="1724" spans="1:12" x14ac:dyDescent="0.25">
      <c r="A1724" s="5">
        <v>45973</v>
      </c>
      <c r="B1724" t="s">
        <v>136</v>
      </c>
      <c r="I1724" t="s">
        <v>841</v>
      </c>
      <c r="J1724" s="6">
        <v>80000</v>
      </c>
    </row>
    <row r="1725" spans="1:12" x14ac:dyDescent="0.25">
      <c r="I1725" t="s">
        <v>198</v>
      </c>
      <c r="J1725" s="6">
        <v>35000</v>
      </c>
    </row>
    <row r="1726" spans="1:12" x14ac:dyDescent="0.25">
      <c r="I1726" t="s">
        <v>842</v>
      </c>
      <c r="J1726" s="6">
        <v>30000</v>
      </c>
    </row>
    <row r="1728" spans="1:12" x14ac:dyDescent="0.25">
      <c r="I1728" t="s">
        <v>22</v>
      </c>
      <c r="J1728" s="6">
        <f>SUM(J1724:J1727)</f>
        <v>145000</v>
      </c>
    </row>
    <row r="1730" spans="1:12" x14ac:dyDescent="0.25">
      <c r="A1730" s="1" t="s">
        <v>0</v>
      </c>
      <c r="B1730" s="1" t="s">
        <v>1</v>
      </c>
      <c r="C1730" s="1" t="s">
        <v>2</v>
      </c>
      <c r="D1730" s="1" t="s">
        <v>3</v>
      </c>
      <c r="E1730" s="1" t="s">
        <v>4</v>
      </c>
      <c r="F1730" s="2" t="s">
        <v>5</v>
      </c>
      <c r="G1730" s="3" t="s">
        <v>6</v>
      </c>
      <c r="H1730" s="3" t="s">
        <v>7</v>
      </c>
      <c r="I1730" s="4" t="s">
        <v>8</v>
      </c>
      <c r="J1730" s="2" t="s">
        <v>9</v>
      </c>
      <c r="K1730" s="3" t="s">
        <v>10</v>
      </c>
      <c r="L1730" s="2" t="s">
        <v>9</v>
      </c>
    </row>
    <row r="1731" spans="1:12" x14ac:dyDescent="0.25">
      <c r="A1731" s="5">
        <v>45974</v>
      </c>
      <c r="B1731" t="s">
        <v>130</v>
      </c>
      <c r="G1731" t="s">
        <v>852</v>
      </c>
      <c r="I1731" t="s">
        <v>34</v>
      </c>
      <c r="J1731" s="6">
        <v>260000</v>
      </c>
    </row>
    <row r="1732" spans="1:12" x14ac:dyDescent="0.25">
      <c r="I1732" t="s">
        <v>19</v>
      </c>
      <c r="J1732" s="6">
        <v>65000</v>
      </c>
    </row>
    <row r="1733" spans="1:12" x14ac:dyDescent="0.25">
      <c r="I1733" t="s">
        <v>853</v>
      </c>
      <c r="J1733" s="6">
        <v>160000</v>
      </c>
    </row>
    <row r="1734" spans="1:12" x14ac:dyDescent="0.25">
      <c r="I1734" t="s">
        <v>61</v>
      </c>
      <c r="J1734" s="6">
        <v>60000</v>
      </c>
    </row>
    <row r="1735" spans="1:12" x14ac:dyDescent="0.25">
      <c r="I1735" t="s">
        <v>198</v>
      </c>
      <c r="J1735" s="6">
        <v>240000</v>
      </c>
    </row>
    <row r="1737" spans="1:12" x14ac:dyDescent="0.25">
      <c r="I1737" t="s">
        <v>22</v>
      </c>
      <c r="J1737" s="6">
        <f>SUM(J1731:J1736)</f>
        <v>785000</v>
      </c>
    </row>
    <row r="1738" spans="1:12" x14ac:dyDescent="0.25">
      <c r="A1738" s="5"/>
    </row>
    <row r="1739" spans="1:12" x14ac:dyDescent="0.25">
      <c r="A1739" s="1" t="s">
        <v>0</v>
      </c>
      <c r="B1739" s="1" t="s">
        <v>1</v>
      </c>
      <c r="C1739" s="1" t="s">
        <v>2</v>
      </c>
      <c r="D1739" s="1" t="s">
        <v>3</v>
      </c>
      <c r="E1739" s="1" t="s">
        <v>4</v>
      </c>
      <c r="F1739" s="2" t="s">
        <v>5</v>
      </c>
      <c r="G1739" s="3" t="s">
        <v>6</v>
      </c>
      <c r="H1739" s="3" t="s">
        <v>7</v>
      </c>
      <c r="I1739" s="4" t="s">
        <v>8</v>
      </c>
      <c r="J1739" s="2" t="s">
        <v>9</v>
      </c>
      <c r="K1739" s="3" t="s">
        <v>10</v>
      </c>
      <c r="L1739" s="2" t="s">
        <v>9</v>
      </c>
    </row>
    <row r="1740" spans="1:12" x14ac:dyDescent="0.25">
      <c r="A1740" s="5">
        <v>45974</v>
      </c>
      <c r="B1740" t="s">
        <v>38</v>
      </c>
      <c r="C1740" t="s">
        <v>854</v>
      </c>
      <c r="D1740" t="s">
        <v>138</v>
      </c>
      <c r="F1740" s="6">
        <v>90040</v>
      </c>
      <c r="I1740" t="s">
        <v>34</v>
      </c>
      <c r="J1740" s="6">
        <v>165000</v>
      </c>
    </row>
    <row r="1741" spans="1:12" x14ac:dyDescent="0.25">
      <c r="I1741" t="s">
        <v>19</v>
      </c>
      <c r="J1741" s="6">
        <v>46000</v>
      </c>
    </row>
    <row r="1742" spans="1:12" x14ac:dyDescent="0.25">
      <c r="I1742" t="s">
        <v>29</v>
      </c>
      <c r="J1742" s="6">
        <v>10000</v>
      </c>
    </row>
    <row r="1744" spans="1:12" x14ac:dyDescent="0.25">
      <c r="I1744" t="s">
        <v>619</v>
      </c>
      <c r="J1744" s="6">
        <f>SUM(J1740:J1743)</f>
        <v>221000</v>
      </c>
    </row>
    <row r="1746" spans="1:12" x14ac:dyDescent="0.25">
      <c r="A1746" s="1" t="s">
        <v>0</v>
      </c>
      <c r="B1746" s="1" t="s">
        <v>1</v>
      </c>
      <c r="C1746" s="1" t="s">
        <v>2</v>
      </c>
      <c r="D1746" s="1" t="s">
        <v>3</v>
      </c>
      <c r="E1746" s="1" t="s">
        <v>4</v>
      </c>
      <c r="F1746" s="2" t="s">
        <v>5</v>
      </c>
      <c r="G1746" s="3" t="s">
        <v>6</v>
      </c>
      <c r="H1746" s="3" t="s">
        <v>7</v>
      </c>
      <c r="I1746" s="4" t="s">
        <v>8</v>
      </c>
      <c r="J1746" s="2" t="s">
        <v>9</v>
      </c>
      <c r="K1746" s="3" t="s">
        <v>10</v>
      </c>
      <c r="L1746" s="2" t="s">
        <v>9</v>
      </c>
    </row>
    <row r="1747" spans="1:12" x14ac:dyDescent="0.25">
      <c r="A1747" s="5">
        <v>45974</v>
      </c>
      <c r="B1747" t="s">
        <v>855</v>
      </c>
      <c r="C1747" t="s">
        <v>857</v>
      </c>
      <c r="F1747" s="6">
        <v>28183</v>
      </c>
      <c r="G1747" t="s">
        <v>859</v>
      </c>
      <c r="I1747" t="s">
        <v>70</v>
      </c>
      <c r="J1747" s="6">
        <v>320000</v>
      </c>
    </row>
    <row r="1748" spans="1:12" x14ac:dyDescent="0.25">
      <c r="B1748" t="s">
        <v>856</v>
      </c>
      <c r="C1748" t="s">
        <v>858</v>
      </c>
      <c r="I1748" t="s">
        <v>107</v>
      </c>
      <c r="J1748" s="6">
        <v>137000</v>
      </c>
    </row>
    <row r="1749" spans="1:12" x14ac:dyDescent="0.25">
      <c r="I1749" t="s">
        <v>37</v>
      </c>
      <c r="J1749" s="6">
        <v>40000</v>
      </c>
    </row>
    <row r="1751" spans="1:12" x14ac:dyDescent="0.25">
      <c r="I1751" t="s">
        <v>22</v>
      </c>
      <c r="J1751" s="6">
        <f>SUM(J1747:J1750)</f>
        <v>497000</v>
      </c>
    </row>
    <row r="1753" spans="1:12" x14ac:dyDescent="0.25">
      <c r="A1753" s="1" t="s">
        <v>0</v>
      </c>
      <c r="B1753" s="1" t="s">
        <v>1</v>
      </c>
      <c r="C1753" s="1" t="s">
        <v>2</v>
      </c>
      <c r="D1753" s="1" t="s">
        <v>3</v>
      </c>
      <c r="E1753" s="1" t="s">
        <v>4</v>
      </c>
      <c r="F1753" s="2" t="s">
        <v>5</v>
      </c>
      <c r="G1753" s="3" t="s">
        <v>6</v>
      </c>
      <c r="H1753" s="3" t="s">
        <v>7</v>
      </c>
      <c r="I1753" s="4" t="s">
        <v>8</v>
      </c>
      <c r="J1753" s="2" t="s">
        <v>9</v>
      </c>
      <c r="K1753" s="3" t="s">
        <v>10</v>
      </c>
      <c r="L1753" s="2" t="s">
        <v>9</v>
      </c>
    </row>
    <row r="1754" spans="1:12" x14ac:dyDescent="0.25">
      <c r="A1754" s="5">
        <v>45974</v>
      </c>
      <c r="B1754" t="s">
        <v>110</v>
      </c>
      <c r="D1754" t="s">
        <v>25</v>
      </c>
      <c r="G1754" t="s">
        <v>860</v>
      </c>
      <c r="I1754" t="s">
        <v>34</v>
      </c>
      <c r="J1754" s="6">
        <v>200000</v>
      </c>
    </row>
    <row r="1755" spans="1:12" x14ac:dyDescent="0.25">
      <c r="I1755" t="s">
        <v>19</v>
      </c>
      <c r="J1755" s="6">
        <v>46000</v>
      </c>
    </row>
    <row r="1756" spans="1:12" x14ac:dyDescent="0.25">
      <c r="I1756" t="s">
        <v>561</v>
      </c>
      <c r="J1756" s="6">
        <v>124000</v>
      </c>
    </row>
    <row r="1757" spans="1:12" x14ac:dyDescent="0.25">
      <c r="I1757" t="s">
        <v>861</v>
      </c>
      <c r="J1757" s="6">
        <v>20000</v>
      </c>
    </row>
    <row r="1759" spans="1:12" x14ac:dyDescent="0.25">
      <c r="I1759" t="s">
        <v>22</v>
      </c>
      <c r="J1759" s="6">
        <f>SUM(J1754:J1758)</f>
        <v>390000</v>
      </c>
    </row>
    <row r="1761" spans="1:12" x14ac:dyDescent="0.25">
      <c r="A1761" s="1" t="s">
        <v>0</v>
      </c>
      <c r="B1761" s="1" t="s">
        <v>1</v>
      </c>
      <c r="C1761" s="1" t="s">
        <v>2</v>
      </c>
      <c r="D1761" s="1" t="s">
        <v>3</v>
      </c>
      <c r="E1761" s="1" t="s">
        <v>4</v>
      </c>
      <c r="F1761" s="2" t="s">
        <v>5</v>
      </c>
      <c r="G1761" s="3" t="s">
        <v>6</v>
      </c>
      <c r="H1761" s="3" t="s">
        <v>7</v>
      </c>
      <c r="I1761" s="4" t="s">
        <v>8</v>
      </c>
      <c r="J1761" s="2" t="s">
        <v>9</v>
      </c>
      <c r="K1761" s="3" t="s">
        <v>10</v>
      </c>
      <c r="L1761" s="2" t="s">
        <v>9</v>
      </c>
    </row>
    <row r="1762" spans="1:12" x14ac:dyDescent="0.25">
      <c r="A1762" s="5">
        <v>45976</v>
      </c>
      <c r="B1762" t="s">
        <v>862</v>
      </c>
      <c r="I1762" t="s">
        <v>70</v>
      </c>
      <c r="J1762" s="6">
        <v>350000</v>
      </c>
    </row>
    <row r="1763" spans="1:12" x14ac:dyDescent="0.25">
      <c r="I1763" t="s">
        <v>108</v>
      </c>
      <c r="J1763" s="6">
        <v>40000</v>
      </c>
    </row>
    <row r="1764" spans="1:12" x14ac:dyDescent="0.25">
      <c r="I1764" t="s">
        <v>863</v>
      </c>
      <c r="J1764" s="6">
        <v>80000</v>
      </c>
    </row>
    <row r="1765" spans="1:12" x14ac:dyDescent="0.25">
      <c r="I1765" t="s">
        <v>864</v>
      </c>
      <c r="J1765" s="6">
        <v>120000</v>
      </c>
    </row>
    <row r="1767" spans="1:12" x14ac:dyDescent="0.25">
      <c r="I1767" t="s">
        <v>22</v>
      </c>
      <c r="J1767" s="6">
        <f>SUM(J1762:J1766)</f>
        <v>590000</v>
      </c>
    </row>
    <row r="1769" spans="1:12" x14ac:dyDescent="0.25">
      <c r="A1769" s="1" t="s">
        <v>0</v>
      </c>
      <c r="B1769" s="1" t="s">
        <v>1</v>
      </c>
      <c r="C1769" s="1" t="s">
        <v>2</v>
      </c>
      <c r="D1769" s="1" t="s">
        <v>3</v>
      </c>
      <c r="E1769" s="1" t="s">
        <v>4</v>
      </c>
      <c r="F1769" s="2" t="s">
        <v>5</v>
      </c>
      <c r="G1769" s="3" t="s">
        <v>6</v>
      </c>
      <c r="H1769" s="3" t="s">
        <v>7</v>
      </c>
      <c r="I1769" s="4" t="s">
        <v>8</v>
      </c>
      <c r="J1769" s="2" t="s">
        <v>9</v>
      </c>
      <c r="K1769" s="3" t="s">
        <v>10</v>
      </c>
      <c r="L1769" s="2" t="s">
        <v>9</v>
      </c>
    </row>
    <row r="1770" spans="1:12" x14ac:dyDescent="0.25">
      <c r="A1770" s="5">
        <v>45976</v>
      </c>
      <c r="B1770" t="s">
        <v>31</v>
      </c>
      <c r="D1770" t="s">
        <v>12</v>
      </c>
      <c r="E1770">
        <v>2017</v>
      </c>
      <c r="F1770" s="6">
        <v>92377</v>
      </c>
      <c r="G1770" t="s">
        <v>865</v>
      </c>
      <c r="I1770" t="s">
        <v>188</v>
      </c>
      <c r="J1770" s="6">
        <v>450000</v>
      </c>
    </row>
    <row r="1771" spans="1:12" x14ac:dyDescent="0.25">
      <c r="I1771" t="s">
        <v>35</v>
      </c>
      <c r="J1771" s="6">
        <v>150000</v>
      </c>
    </row>
    <row r="1772" spans="1:12" x14ac:dyDescent="0.25">
      <c r="I1772" t="s">
        <v>75</v>
      </c>
      <c r="J1772" s="6">
        <v>315000</v>
      </c>
    </row>
    <row r="1773" spans="1:12" x14ac:dyDescent="0.25">
      <c r="I1773" t="s">
        <v>743</v>
      </c>
      <c r="J1773" s="6">
        <v>180000</v>
      </c>
    </row>
    <row r="1774" spans="1:12" x14ac:dyDescent="0.25">
      <c r="I1774" t="s">
        <v>146</v>
      </c>
      <c r="J1774" s="6">
        <v>38000</v>
      </c>
    </row>
    <row r="1775" spans="1:12" x14ac:dyDescent="0.25">
      <c r="I1775" t="s">
        <v>866</v>
      </c>
      <c r="J1775" s="6">
        <v>112000</v>
      </c>
    </row>
    <row r="1776" spans="1:12" x14ac:dyDescent="0.25">
      <c r="I1776" t="s">
        <v>867</v>
      </c>
      <c r="J1776" s="6">
        <v>40000</v>
      </c>
    </row>
    <row r="1778" spans="1:12" x14ac:dyDescent="0.25">
      <c r="I1778" t="s">
        <v>22</v>
      </c>
      <c r="J1778" s="6">
        <f>SUM(J1770:J1777)</f>
        <v>1285000</v>
      </c>
    </row>
    <row r="1780" spans="1:12" x14ac:dyDescent="0.25">
      <c r="A1780" s="1" t="s">
        <v>0</v>
      </c>
      <c r="B1780" s="1" t="s">
        <v>1</v>
      </c>
      <c r="C1780" s="1" t="s">
        <v>2</v>
      </c>
      <c r="D1780" s="1" t="s">
        <v>3</v>
      </c>
      <c r="E1780" s="1" t="s">
        <v>4</v>
      </c>
      <c r="F1780" s="2" t="s">
        <v>5</v>
      </c>
      <c r="G1780" s="3" t="s">
        <v>6</v>
      </c>
      <c r="H1780" s="3" t="s">
        <v>7</v>
      </c>
      <c r="I1780" s="4" t="s">
        <v>8</v>
      </c>
      <c r="J1780" s="2" t="s">
        <v>9</v>
      </c>
      <c r="K1780" s="3" t="s">
        <v>10</v>
      </c>
      <c r="L1780" s="2" t="s">
        <v>9</v>
      </c>
    </row>
    <row r="1781" spans="1:12" x14ac:dyDescent="0.25">
      <c r="A1781" s="5">
        <v>45976</v>
      </c>
      <c r="B1781" t="s">
        <v>31</v>
      </c>
      <c r="C1781" t="s">
        <v>415</v>
      </c>
      <c r="D1781" t="s">
        <v>45</v>
      </c>
      <c r="F1781" s="6">
        <v>100667</v>
      </c>
      <c r="G1781" t="s">
        <v>416</v>
      </c>
      <c r="I1781" t="s">
        <v>75</v>
      </c>
      <c r="J1781" s="6">
        <v>315000</v>
      </c>
    </row>
    <row r="1782" spans="1:12" x14ac:dyDescent="0.25">
      <c r="I1782" t="s">
        <v>407</v>
      </c>
      <c r="J1782" s="6">
        <v>350000</v>
      </c>
    </row>
    <row r="1783" spans="1:12" x14ac:dyDescent="0.25">
      <c r="I1783" t="s">
        <v>61</v>
      </c>
      <c r="J1783" s="6">
        <v>80000</v>
      </c>
    </row>
    <row r="1785" spans="1:12" x14ac:dyDescent="0.25">
      <c r="I1785" t="s">
        <v>22</v>
      </c>
      <c r="J1785" s="6">
        <f>SUM(J1781:J1784)</f>
        <v>745000</v>
      </c>
    </row>
    <row r="1787" spans="1:12" x14ac:dyDescent="0.25">
      <c r="A1787" s="1" t="s">
        <v>0</v>
      </c>
      <c r="B1787" s="1" t="s">
        <v>1</v>
      </c>
      <c r="C1787" s="1" t="s">
        <v>2</v>
      </c>
      <c r="D1787" s="1" t="s">
        <v>3</v>
      </c>
      <c r="E1787" s="1" t="s">
        <v>4</v>
      </c>
      <c r="F1787" s="2" t="s">
        <v>5</v>
      </c>
      <c r="G1787" s="3" t="s">
        <v>6</v>
      </c>
      <c r="H1787" s="3" t="s">
        <v>7</v>
      </c>
      <c r="I1787" s="4" t="s">
        <v>8</v>
      </c>
      <c r="J1787" s="2" t="s">
        <v>9</v>
      </c>
      <c r="K1787" s="3" t="s">
        <v>10</v>
      </c>
      <c r="L1787" s="2" t="s">
        <v>9</v>
      </c>
    </row>
    <row r="1788" spans="1:12" x14ac:dyDescent="0.25">
      <c r="A1788" s="5">
        <v>45979</v>
      </c>
      <c r="B1788" t="s">
        <v>209</v>
      </c>
      <c r="C1788" t="s">
        <v>868</v>
      </c>
      <c r="D1788" t="s">
        <v>25</v>
      </c>
      <c r="E1788">
        <v>2016</v>
      </c>
      <c r="G1788" t="s">
        <v>869</v>
      </c>
      <c r="H1788">
        <v>3151138543</v>
      </c>
      <c r="I1788" t="s">
        <v>41</v>
      </c>
      <c r="J1788" s="6">
        <v>227000</v>
      </c>
    </row>
    <row r="1789" spans="1:12" x14ac:dyDescent="0.25">
      <c r="I1789" t="s">
        <v>34</v>
      </c>
      <c r="J1789" s="6">
        <v>60000</v>
      </c>
    </row>
    <row r="1790" spans="1:12" x14ac:dyDescent="0.25">
      <c r="I1790" t="s">
        <v>19</v>
      </c>
      <c r="J1790" s="6">
        <v>18000</v>
      </c>
    </row>
    <row r="1791" spans="1:12" x14ac:dyDescent="0.25">
      <c r="I1791" t="s">
        <v>825</v>
      </c>
      <c r="J1791" s="6">
        <v>20000</v>
      </c>
    </row>
    <row r="1793" spans="1:12" x14ac:dyDescent="0.25">
      <c r="I1793" t="s">
        <v>22</v>
      </c>
      <c r="J1793" s="6">
        <f>SUM(J1788:J1792)</f>
        <v>325000</v>
      </c>
    </row>
    <row r="1795" spans="1:12" x14ac:dyDescent="0.25">
      <c r="A1795" s="1" t="s">
        <v>0</v>
      </c>
      <c r="B1795" s="1" t="s">
        <v>1</v>
      </c>
      <c r="C1795" s="1" t="s">
        <v>2</v>
      </c>
      <c r="D1795" s="1" t="s">
        <v>3</v>
      </c>
      <c r="E1795" s="1" t="s">
        <v>4</v>
      </c>
      <c r="F1795" s="2" t="s">
        <v>5</v>
      </c>
      <c r="G1795" s="3" t="s">
        <v>6</v>
      </c>
      <c r="H1795" s="3" t="s">
        <v>7</v>
      </c>
      <c r="I1795" s="4" t="s">
        <v>8</v>
      </c>
      <c r="J1795" s="2" t="s">
        <v>9</v>
      </c>
      <c r="K1795" s="3" t="s">
        <v>10</v>
      </c>
      <c r="L1795" s="2" t="s">
        <v>9</v>
      </c>
    </row>
    <row r="1796" spans="1:12" x14ac:dyDescent="0.25">
      <c r="A1796" s="5">
        <v>45980</v>
      </c>
      <c r="B1796" t="s">
        <v>1221</v>
      </c>
      <c r="D1796" t="s">
        <v>138</v>
      </c>
      <c r="G1796" t="s">
        <v>1222</v>
      </c>
      <c r="H1796">
        <v>3153487970</v>
      </c>
      <c r="I1796" t="s">
        <v>717</v>
      </c>
    </row>
    <row r="1797" spans="1:12" x14ac:dyDescent="0.25">
      <c r="I1797" t="s">
        <v>1223</v>
      </c>
    </row>
    <row r="1799" spans="1:12" x14ac:dyDescent="0.25">
      <c r="I1799" t="s">
        <v>22</v>
      </c>
    </row>
    <row r="1801" spans="1:12" x14ac:dyDescent="0.25">
      <c r="A1801" s="1" t="s">
        <v>0</v>
      </c>
      <c r="B1801" s="1" t="s">
        <v>1</v>
      </c>
      <c r="C1801" s="1" t="s">
        <v>2</v>
      </c>
      <c r="D1801" s="1" t="s">
        <v>3</v>
      </c>
      <c r="E1801" s="1" t="s">
        <v>4</v>
      </c>
      <c r="F1801" s="2" t="s">
        <v>5</v>
      </c>
      <c r="G1801" s="3" t="s">
        <v>6</v>
      </c>
      <c r="H1801" s="3" t="s">
        <v>7</v>
      </c>
      <c r="I1801" s="4" t="s">
        <v>8</v>
      </c>
      <c r="J1801" s="2" t="s">
        <v>9</v>
      </c>
      <c r="K1801" s="3" t="s">
        <v>10</v>
      </c>
      <c r="L1801" s="2" t="s">
        <v>9</v>
      </c>
    </row>
    <row r="1802" spans="1:12" x14ac:dyDescent="0.25">
      <c r="A1802" s="5">
        <v>45981</v>
      </c>
      <c r="B1802" t="s">
        <v>31</v>
      </c>
      <c r="C1802" t="s">
        <v>367</v>
      </c>
      <c r="D1802" t="s">
        <v>45</v>
      </c>
      <c r="E1802">
        <v>2011</v>
      </c>
      <c r="F1802" s="6">
        <v>85369</v>
      </c>
      <c r="G1802" t="s">
        <v>368</v>
      </c>
      <c r="I1802" t="s">
        <v>870</v>
      </c>
      <c r="J1802" s="6">
        <v>480000</v>
      </c>
    </row>
    <row r="1803" spans="1:12" x14ac:dyDescent="0.25">
      <c r="I1803" t="s">
        <v>61</v>
      </c>
      <c r="J1803" s="6">
        <v>80000</v>
      </c>
    </row>
    <row r="1804" spans="1:12" x14ac:dyDescent="0.25">
      <c r="I1804" t="s">
        <v>871</v>
      </c>
      <c r="J1804" s="6">
        <v>40000</v>
      </c>
    </row>
    <row r="1806" spans="1:12" x14ac:dyDescent="0.25">
      <c r="I1806" t="s">
        <v>22</v>
      </c>
      <c r="J1806" s="6">
        <f>SUM(J1802:J1805)</f>
        <v>600000</v>
      </c>
    </row>
    <row r="1808" spans="1:12" x14ac:dyDescent="0.25">
      <c r="A1808" s="1" t="s">
        <v>0</v>
      </c>
      <c r="B1808" s="1" t="s">
        <v>1</v>
      </c>
      <c r="C1808" s="1" t="s">
        <v>2</v>
      </c>
      <c r="D1808" s="1" t="s">
        <v>3</v>
      </c>
      <c r="E1808" s="1" t="s">
        <v>4</v>
      </c>
      <c r="F1808" s="2" t="s">
        <v>5</v>
      </c>
      <c r="G1808" s="3" t="s">
        <v>6</v>
      </c>
      <c r="H1808" s="3" t="s">
        <v>7</v>
      </c>
      <c r="I1808" s="4" t="s">
        <v>8</v>
      </c>
      <c r="J1808" s="2" t="s">
        <v>9</v>
      </c>
      <c r="K1808" s="3" t="s">
        <v>10</v>
      </c>
      <c r="L1808" s="2" t="s">
        <v>9</v>
      </c>
    </row>
    <row r="1809" spans="1:12" x14ac:dyDescent="0.25">
      <c r="A1809" s="5">
        <v>45981</v>
      </c>
      <c r="B1809" t="s">
        <v>232</v>
      </c>
      <c r="G1809" t="s">
        <v>872</v>
      </c>
      <c r="I1809" t="s">
        <v>873</v>
      </c>
      <c r="J1809" s="6">
        <v>25000</v>
      </c>
    </row>
    <row r="1810" spans="1:12" x14ac:dyDescent="0.25">
      <c r="I1810" t="s">
        <v>34</v>
      </c>
      <c r="J1810" s="6">
        <v>110000</v>
      </c>
    </row>
    <row r="1811" spans="1:12" x14ac:dyDescent="0.25">
      <c r="I1811" t="s">
        <v>19</v>
      </c>
      <c r="J1811" s="6">
        <v>65000</v>
      </c>
    </row>
    <row r="1812" spans="1:12" x14ac:dyDescent="0.25">
      <c r="I1812" t="s">
        <v>874</v>
      </c>
      <c r="J1812" s="6">
        <v>180000</v>
      </c>
    </row>
    <row r="1813" spans="1:12" x14ac:dyDescent="0.25">
      <c r="I1813" t="s">
        <v>875</v>
      </c>
      <c r="J1813" s="6">
        <v>80000</v>
      </c>
    </row>
    <row r="1814" spans="1:12" x14ac:dyDescent="0.25">
      <c r="I1814" t="s">
        <v>21</v>
      </c>
      <c r="J1814" s="6">
        <v>25000</v>
      </c>
    </row>
    <row r="1816" spans="1:12" x14ac:dyDescent="0.25">
      <c r="I1816" t="s">
        <v>22</v>
      </c>
      <c r="J1816" s="6">
        <f>SUM(J1809:J1815)</f>
        <v>485000</v>
      </c>
    </row>
    <row r="1818" spans="1:12" x14ac:dyDescent="0.25">
      <c r="A1818" s="1" t="s">
        <v>0</v>
      </c>
      <c r="B1818" s="1" t="s">
        <v>1</v>
      </c>
      <c r="C1818" s="1" t="s">
        <v>2</v>
      </c>
      <c r="D1818" s="1" t="s">
        <v>3</v>
      </c>
      <c r="E1818" s="1" t="s">
        <v>4</v>
      </c>
      <c r="F1818" s="2" t="s">
        <v>5</v>
      </c>
      <c r="G1818" s="3" t="s">
        <v>6</v>
      </c>
      <c r="H1818" s="3" t="s">
        <v>7</v>
      </c>
      <c r="I1818" s="4" t="s">
        <v>8</v>
      </c>
      <c r="J1818" s="2" t="s">
        <v>9</v>
      </c>
      <c r="K1818" s="3" t="s">
        <v>10</v>
      </c>
      <c r="L1818" s="2" t="s">
        <v>9</v>
      </c>
    </row>
    <row r="1819" spans="1:12" x14ac:dyDescent="0.25">
      <c r="A1819" s="5">
        <v>45981</v>
      </c>
      <c r="B1819" t="s">
        <v>31</v>
      </c>
      <c r="C1819" t="s">
        <v>260</v>
      </c>
      <c r="D1819" t="s">
        <v>45</v>
      </c>
      <c r="F1819" s="6">
        <v>136306</v>
      </c>
      <c r="G1819" t="s">
        <v>261</v>
      </c>
      <c r="I1819" t="s">
        <v>876</v>
      </c>
      <c r="J1819" s="6">
        <v>450000</v>
      </c>
    </row>
    <row r="1820" spans="1:12" x14ac:dyDescent="0.25">
      <c r="I1820" t="s">
        <v>37</v>
      </c>
      <c r="J1820" s="6">
        <v>40000</v>
      </c>
    </row>
    <row r="1822" spans="1:12" x14ac:dyDescent="0.25">
      <c r="I1822" t="s">
        <v>22</v>
      </c>
      <c r="J1822" s="6">
        <f>SUM(J1819:J1821)</f>
        <v>490000</v>
      </c>
    </row>
    <row r="1824" spans="1:12" x14ac:dyDescent="0.25">
      <c r="A1824" s="1" t="s">
        <v>0</v>
      </c>
      <c r="B1824" s="1" t="s">
        <v>1</v>
      </c>
      <c r="C1824" s="1" t="s">
        <v>2</v>
      </c>
      <c r="D1824" s="1" t="s">
        <v>3</v>
      </c>
      <c r="E1824" s="1" t="s">
        <v>4</v>
      </c>
      <c r="F1824" s="2" t="s">
        <v>5</v>
      </c>
      <c r="G1824" s="3" t="s">
        <v>6</v>
      </c>
      <c r="H1824" s="3" t="s">
        <v>7</v>
      </c>
      <c r="I1824" s="4" t="s">
        <v>8</v>
      </c>
      <c r="J1824" s="2" t="s">
        <v>9</v>
      </c>
      <c r="K1824" s="3" t="s">
        <v>10</v>
      </c>
      <c r="L1824" s="2" t="s">
        <v>9</v>
      </c>
    </row>
    <row r="1825" spans="1:12" x14ac:dyDescent="0.25">
      <c r="A1825" s="5">
        <v>45981</v>
      </c>
      <c r="B1825" t="s">
        <v>110</v>
      </c>
      <c r="C1825" t="s">
        <v>877</v>
      </c>
      <c r="D1825" t="s">
        <v>138</v>
      </c>
      <c r="F1825" s="6">
        <v>135000</v>
      </c>
      <c r="G1825" t="s">
        <v>878</v>
      </c>
      <c r="I1825" t="s">
        <v>61</v>
      </c>
      <c r="J1825" s="6">
        <v>180000</v>
      </c>
    </row>
    <row r="1827" spans="1:12" x14ac:dyDescent="0.25">
      <c r="I1827" t="s">
        <v>22</v>
      </c>
      <c r="J1827" s="6">
        <f>SUM(J1825:J1826)</f>
        <v>180000</v>
      </c>
    </row>
    <row r="1829" spans="1:12" x14ac:dyDescent="0.25">
      <c r="A1829" s="1" t="s">
        <v>0</v>
      </c>
      <c r="B1829" s="1" t="s">
        <v>1</v>
      </c>
      <c r="C1829" s="1" t="s">
        <v>2</v>
      </c>
      <c r="D1829" s="1" t="s">
        <v>3</v>
      </c>
      <c r="E1829" s="1" t="s">
        <v>4</v>
      </c>
      <c r="F1829" s="2" t="s">
        <v>5</v>
      </c>
      <c r="G1829" s="3" t="s">
        <v>6</v>
      </c>
      <c r="H1829" s="3" t="s">
        <v>7</v>
      </c>
      <c r="I1829" s="4" t="s">
        <v>8</v>
      </c>
      <c r="J1829" s="2" t="s">
        <v>9</v>
      </c>
      <c r="K1829" s="3" t="s">
        <v>10</v>
      </c>
      <c r="L1829" s="2" t="s">
        <v>9</v>
      </c>
    </row>
    <row r="1830" spans="1:12" x14ac:dyDescent="0.25">
      <c r="A1830" s="5">
        <v>45981</v>
      </c>
      <c r="B1830" t="s">
        <v>679</v>
      </c>
      <c r="C1830" t="s">
        <v>680</v>
      </c>
      <c r="D1830" t="s">
        <v>138</v>
      </c>
      <c r="G1830" t="s">
        <v>879</v>
      </c>
      <c r="H1830">
        <v>3123866263</v>
      </c>
      <c r="I1830" t="s">
        <v>525</v>
      </c>
      <c r="J1830" s="6">
        <v>240000</v>
      </c>
    </row>
    <row r="1831" spans="1:12" x14ac:dyDescent="0.25">
      <c r="I1831" t="s">
        <v>16</v>
      </c>
      <c r="J1831" s="6">
        <v>40000</v>
      </c>
    </row>
    <row r="1833" spans="1:12" x14ac:dyDescent="0.25">
      <c r="I1833" t="s">
        <v>22</v>
      </c>
      <c r="J1833" s="6">
        <f>SUM(J1830:J1832)</f>
        <v>280000</v>
      </c>
    </row>
    <row r="1835" spans="1:12" x14ac:dyDescent="0.25">
      <c r="A1835" s="1" t="s">
        <v>0</v>
      </c>
      <c r="B1835" s="1" t="s">
        <v>1</v>
      </c>
      <c r="C1835" s="1" t="s">
        <v>2</v>
      </c>
      <c r="D1835" s="1" t="s">
        <v>3</v>
      </c>
      <c r="E1835" s="1" t="s">
        <v>4</v>
      </c>
      <c r="F1835" s="2" t="s">
        <v>5</v>
      </c>
      <c r="G1835" s="3" t="s">
        <v>6</v>
      </c>
      <c r="H1835" s="3" t="s">
        <v>7</v>
      </c>
      <c r="I1835" s="4" t="s">
        <v>8</v>
      </c>
      <c r="J1835" s="2" t="s">
        <v>9</v>
      </c>
      <c r="K1835" s="3" t="s">
        <v>10</v>
      </c>
      <c r="L1835" s="2" t="s">
        <v>9</v>
      </c>
    </row>
    <row r="1836" spans="1:12" x14ac:dyDescent="0.25">
      <c r="A1836" s="5">
        <v>45981</v>
      </c>
      <c r="B1836" t="s">
        <v>880</v>
      </c>
      <c r="C1836" t="s">
        <v>881</v>
      </c>
      <c r="D1836" t="s">
        <v>25</v>
      </c>
      <c r="G1836" t="s">
        <v>411</v>
      </c>
      <c r="I1836" t="s">
        <v>21</v>
      </c>
      <c r="J1836" s="6">
        <v>25000</v>
      </c>
    </row>
    <row r="1837" spans="1:12" x14ac:dyDescent="0.25">
      <c r="I1837" t="s">
        <v>553</v>
      </c>
      <c r="J1837" s="6">
        <v>80000</v>
      </c>
    </row>
    <row r="1838" spans="1:12" x14ac:dyDescent="0.25">
      <c r="I1838" t="s">
        <v>146</v>
      </c>
      <c r="J1838" s="6">
        <v>35000</v>
      </c>
    </row>
    <row r="1839" spans="1:12" x14ac:dyDescent="0.25">
      <c r="I1839" t="s">
        <v>882</v>
      </c>
      <c r="J1839" s="6">
        <v>20000</v>
      </c>
    </row>
    <row r="1840" spans="1:12" x14ac:dyDescent="0.25">
      <c r="I1840" t="s">
        <v>883</v>
      </c>
      <c r="J1840" s="6">
        <v>35000</v>
      </c>
    </row>
    <row r="1841" spans="1:12" x14ac:dyDescent="0.25">
      <c r="I1841" t="s">
        <v>884</v>
      </c>
      <c r="J1841" s="6">
        <v>80000</v>
      </c>
    </row>
    <row r="1843" spans="1:12" x14ac:dyDescent="0.25">
      <c r="I1843" t="s">
        <v>22</v>
      </c>
      <c r="J1843" s="6">
        <f>SUM(J1836:J1842)</f>
        <v>275000</v>
      </c>
    </row>
    <row r="1845" spans="1:12" x14ac:dyDescent="0.25">
      <c r="A1845" s="1" t="s">
        <v>0</v>
      </c>
      <c r="B1845" s="1" t="s">
        <v>1</v>
      </c>
      <c r="C1845" s="1" t="s">
        <v>2</v>
      </c>
      <c r="D1845" s="1" t="s">
        <v>3</v>
      </c>
      <c r="E1845" s="1" t="s">
        <v>4</v>
      </c>
      <c r="F1845" s="2" t="s">
        <v>5</v>
      </c>
      <c r="G1845" s="3" t="s">
        <v>6</v>
      </c>
      <c r="H1845" s="3" t="s">
        <v>7</v>
      </c>
      <c r="I1845" s="4" t="s">
        <v>8</v>
      </c>
      <c r="J1845" s="2" t="s">
        <v>9</v>
      </c>
      <c r="K1845" s="3" t="s">
        <v>10</v>
      </c>
      <c r="L1845" s="2" t="s">
        <v>9</v>
      </c>
    </row>
    <row r="1846" spans="1:12" x14ac:dyDescent="0.25">
      <c r="A1846" s="5">
        <v>45981</v>
      </c>
      <c r="B1846" t="s">
        <v>31</v>
      </c>
      <c r="C1846" t="s">
        <v>885</v>
      </c>
      <c r="D1846" t="s">
        <v>12</v>
      </c>
      <c r="F1846" s="6">
        <v>149302</v>
      </c>
      <c r="G1846" t="s">
        <v>886</v>
      </c>
      <c r="I1846" t="s">
        <v>712</v>
      </c>
      <c r="J1846" s="6">
        <v>460000</v>
      </c>
    </row>
    <row r="1847" spans="1:12" x14ac:dyDescent="0.25">
      <c r="I1847" t="s">
        <v>34</v>
      </c>
      <c r="J1847" s="6">
        <v>200000</v>
      </c>
    </row>
    <row r="1848" spans="1:12" x14ac:dyDescent="0.25">
      <c r="I1848" t="s">
        <v>887</v>
      </c>
      <c r="J1848" s="6">
        <v>70000</v>
      </c>
    </row>
    <row r="1849" spans="1:12" x14ac:dyDescent="0.25">
      <c r="I1849" t="s">
        <v>414</v>
      </c>
      <c r="J1849" s="6">
        <v>40000</v>
      </c>
    </row>
    <row r="1850" spans="1:12" x14ac:dyDescent="0.25">
      <c r="I1850" t="s">
        <v>19</v>
      </c>
      <c r="J1850" s="6">
        <v>46000</v>
      </c>
    </row>
    <row r="1851" spans="1:12" x14ac:dyDescent="0.25">
      <c r="I1851" t="s">
        <v>122</v>
      </c>
      <c r="J1851" s="6">
        <v>150000</v>
      </c>
    </row>
    <row r="1852" spans="1:12" x14ac:dyDescent="0.25">
      <c r="I1852" t="s">
        <v>838</v>
      </c>
      <c r="J1852" s="6">
        <v>40000</v>
      </c>
    </row>
    <row r="1853" spans="1:12" x14ac:dyDescent="0.25">
      <c r="I1853" t="s">
        <v>61</v>
      </c>
      <c r="J1853" s="6">
        <v>120000</v>
      </c>
    </row>
    <row r="1855" spans="1:12" x14ac:dyDescent="0.25">
      <c r="I1855" t="s">
        <v>22</v>
      </c>
      <c r="J1855" s="6">
        <f>SUM(J1846:J1854)</f>
        <v>1126000</v>
      </c>
    </row>
    <row r="1857" spans="1:12" x14ac:dyDescent="0.25">
      <c r="A1857" s="1" t="s">
        <v>0</v>
      </c>
      <c r="B1857" s="1" t="s">
        <v>1</v>
      </c>
      <c r="C1857" s="1" t="s">
        <v>2</v>
      </c>
      <c r="D1857" s="1" t="s">
        <v>3</v>
      </c>
      <c r="E1857" s="1" t="s">
        <v>4</v>
      </c>
      <c r="F1857" s="2" t="s">
        <v>5</v>
      </c>
      <c r="G1857" s="3" t="s">
        <v>6</v>
      </c>
      <c r="H1857" s="3" t="s">
        <v>7</v>
      </c>
      <c r="I1857" s="4" t="s">
        <v>8</v>
      </c>
      <c r="J1857" s="2" t="s">
        <v>9</v>
      </c>
      <c r="K1857" s="3" t="s">
        <v>10</v>
      </c>
      <c r="L1857" s="2" t="s">
        <v>9</v>
      </c>
    </row>
    <row r="1858" spans="1:12" x14ac:dyDescent="0.25">
      <c r="A1858" s="5">
        <v>45982</v>
      </c>
      <c r="B1858" t="s">
        <v>232</v>
      </c>
      <c r="C1858" t="s">
        <v>888</v>
      </c>
      <c r="D1858" t="s">
        <v>45</v>
      </c>
      <c r="F1858" s="6">
        <v>48893</v>
      </c>
      <c r="G1858" t="s">
        <v>889</v>
      </c>
      <c r="H1858">
        <v>3058113086</v>
      </c>
      <c r="I1858" t="s">
        <v>61</v>
      </c>
      <c r="J1858" s="6">
        <v>1200000</v>
      </c>
    </row>
    <row r="1859" spans="1:12" x14ac:dyDescent="0.25">
      <c r="I1859" t="s">
        <v>34</v>
      </c>
      <c r="J1859" s="6">
        <v>110000</v>
      </c>
    </row>
    <row r="1860" spans="1:12" x14ac:dyDescent="0.25">
      <c r="I1860" t="s">
        <v>19</v>
      </c>
      <c r="J1860" s="6">
        <v>65000</v>
      </c>
    </row>
    <row r="1861" spans="1:12" x14ac:dyDescent="0.25">
      <c r="I1861" t="s">
        <v>464</v>
      </c>
      <c r="J1861" s="6">
        <v>350000</v>
      </c>
    </row>
    <row r="1862" spans="1:12" x14ac:dyDescent="0.25">
      <c r="I1862" t="s">
        <v>890</v>
      </c>
      <c r="J1862" s="6">
        <v>35000</v>
      </c>
    </row>
    <row r="1863" spans="1:12" x14ac:dyDescent="0.25">
      <c r="I1863" t="s">
        <v>16</v>
      </c>
      <c r="J1863" s="6">
        <v>80000</v>
      </c>
    </row>
    <row r="1864" spans="1:12" x14ac:dyDescent="0.25">
      <c r="I1864" t="s">
        <v>426</v>
      </c>
      <c r="J1864" s="6">
        <v>180000</v>
      </c>
    </row>
    <row r="1865" spans="1:12" x14ac:dyDescent="0.25">
      <c r="I1865" t="s">
        <v>21</v>
      </c>
      <c r="J1865" s="6">
        <v>25000</v>
      </c>
    </row>
    <row r="1867" spans="1:12" x14ac:dyDescent="0.25">
      <c r="I1867" t="s">
        <v>22</v>
      </c>
      <c r="J1867" s="6">
        <f>SUM(J1858:J1866)</f>
        <v>2045000</v>
      </c>
    </row>
    <row r="1869" spans="1:12" x14ac:dyDescent="0.25">
      <c r="A1869" s="1" t="s">
        <v>0</v>
      </c>
      <c r="B1869" s="1" t="s">
        <v>1</v>
      </c>
      <c r="C1869" s="1" t="s">
        <v>2</v>
      </c>
      <c r="D1869" s="1" t="s">
        <v>3</v>
      </c>
      <c r="E1869" s="1" t="s">
        <v>4</v>
      </c>
      <c r="F1869" s="2" t="s">
        <v>5</v>
      </c>
      <c r="G1869" s="3" t="s">
        <v>6</v>
      </c>
      <c r="H1869" s="3" t="s">
        <v>7</v>
      </c>
      <c r="I1869" s="4" t="s">
        <v>8</v>
      </c>
      <c r="J1869" s="2" t="s">
        <v>9</v>
      </c>
      <c r="K1869" s="3" t="s">
        <v>10</v>
      </c>
      <c r="L1869" s="2" t="s">
        <v>9</v>
      </c>
    </row>
    <row r="1870" spans="1:12" x14ac:dyDescent="0.25">
      <c r="A1870" s="5">
        <v>45982</v>
      </c>
      <c r="B1870" t="s">
        <v>232</v>
      </c>
      <c r="C1870" t="s">
        <v>891</v>
      </c>
      <c r="D1870" t="s">
        <v>138</v>
      </c>
      <c r="F1870" s="6">
        <v>22097</v>
      </c>
      <c r="I1870" t="s">
        <v>658</v>
      </c>
    </row>
    <row r="1872" spans="1:12" x14ac:dyDescent="0.25">
      <c r="I1872" t="s">
        <v>22</v>
      </c>
      <c r="J1872" s="6">
        <v>450000</v>
      </c>
    </row>
    <row r="1874" spans="1:12" x14ac:dyDescent="0.25">
      <c r="A1874" s="1" t="s">
        <v>0</v>
      </c>
      <c r="B1874" s="1" t="s">
        <v>1</v>
      </c>
      <c r="C1874" s="1" t="s">
        <v>2</v>
      </c>
      <c r="D1874" s="1" t="s">
        <v>3</v>
      </c>
      <c r="E1874" s="1" t="s">
        <v>4</v>
      </c>
      <c r="F1874" s="2" t="s">
        <v>5</v>
      </c>
      <c r="G1874" s="3" t="s">
        <v>6</v>
      </c>
      <c r="H1874" s="3" t="s">
        <v>7</v>
      </c>
      <c r="I1874" s="4" t="s">
        <v>8</v>
      </c>
      <c r="J1874" s="2" t="s">
        <v>9</v>
      </c>
      <c r="K1874" s="3" t="s">
        <v>10</v>
      </c>
      <c r="L1874" s="2" t="s">
        <v>9</v>
      </c>
    </row>
    <row r="1875" spans="1:12" x14ac:dyDescent="0.25">
      <c r="A1875" s="5">
        <v>45982</v>
      </c>
      <c r="B1875" t="s">
        <v>892</v>
      </c>
      <c r="C1875" t="s">
        <v>893</v>
      </c>
      <c r="D1875" t="s">
        <v>25</v>
      </c>
      <c r="F1875" s="6">
        <v>15166</v>
      </c>
      <c r="G1875" t="s">
        <v>894</v>
      </c>
      <c r="I1875" t="s">
        <v>70</v>
      </c>
      <c r="J1875" s="6">
        <v>380000</v>
      </c>
    </row>
    <row r="1876" spans="1:12" x14ac:dyDescent="0.25">
      <c r="I1876" t="s">
        <v>895</v>
      </c>
      <c r="J1876" s="6">
        <v>120000</v>
      </c>
    </row>
    <row r="1877" spans="1:12" x14ac:dyDescent="0.25">
      <c r="I1877" t="s">
        <v>18</v>
      </c>
      <c r="J1877" s="6">
        <v>50000</v>
      </c>
    </row>
    <row r="1878" spans="1:12" x14ac:dyDescent="0.25">
      <c r="I1878" t="s">
        <v>19</v>
      </c>
      <c r="J1878" s="6">
        <v>46000</v>
      </c>
    </row>
    <row r="1880" spans="1:12" x14ac:dyDescent="0.25">
      <c r="I1880" t="s">
        <v>22</v>
      </c>
      <c r="J1880" s="6">
        <f>SUM(J1875:J1879)</f>
        <v>596000</v>
      </c>
    </row>
    <row r="1882" spans="1:12" x14ac:dyDescent="0.25">
      <c r="A1882" s="1" t="s">
        <v>0</v>
      </c>
      <c r="B1882" s="1" t="s">
        <v>1</v>
      </c>
      <c r="C1882" s="1" t="s">
        <v>2</v>
      </c>
      <c r="D1882" s="1" t="s">
        <v>3</v>
      </c>
      <c r="E1882" s="1" t="s">
        <v>4</v>
      </c>
      <c r="F1882" s="2" t="s">
        <v>5</v>
      </c>
      <c r="G1882" s="3" t="s">
        <v>6</v>
      </c>
      <c r="H1882" s="3" t="s">
        <v>7</v>
      </c>
      <c r="I1882" s="4" t="s">
        <v>8</v>
      </c>
      <c r="J1882" s="2" t="s">
        <v>9</v>
      </c>
      <c r="K1882" s="3" t="s">
        <v>10</v>
      </c>
      <c r="L1882" s="2" t="s">
        <v>9</v>
      </c>
    </row>
    <row r="1883" spans="1:12" x14ac:dyDescent="0.25">
      <c r="A1883" s="5">
        <v>45982</v>
      </c>
      <c r="B1883" t="s">
        <v>110</v>
      </c>
      <c r="C1883" t="s">
        <v>896</v>
      </c>
      <c r="D1883" t="s">
        <v>138</v>
      </c>
      <c r="F1883" s="6">
        <v>58245</v>
      </c>
      <c r="G1883" t="s">
        <v>897</v>
      </c>
      <c r="I1883" t="s">
        <v>70</v>
      </c>
      <c r="J1883" s="6">
        <v>350000</v>
      </c>
    </row>
    <row r="1884" spans="1:12" x14ac:dyDescent="0.25">
      <c r="I1884" t="s">
        <v>35</v>
      </c>
      <c r="J1884" s="6">
        <v>150000</v>
      </c>
    </row>
    <row r="1885" spans="1:12" x14ac:dyDescent="0.25">
      <c r="I1885" t="s">
        <v>16</v>
      </c>
      <c r="J1885" s="6">
        <v>30000</v>
      </c>
    </row>
    <row r="1886" spans="1:12" x14ac:dyDescent="0.25">
      <c r="I1886" t="s">
        <v>898</v>
      </c>
      <c r="J1886" s="6">
        <v>160000</v>
      </c>
    </row>
    <row r="1887" spans="1:12" x14ac:dyDescent="0.25">
      <c r="I1887" t="s">
        <v>146</v>
      </c>
      <c r="J1887" s="6">
        <v>35000</v>
      </c>
    </row>
    <row r="1888" spans="1:12" x14ac:dyDescent="0.25">
      <c r="I1888" t="s">
        <v>899</v>
      </c>
      <c r="J1888" s="6">
        <v>90000</v>
      </c>
    </row>
    <row r="1889" spans="1:12" x14ac:dyDescent="0.25">
      <c r="I1889" t="s">
        <v>900</v>
      </c>
      <c r="J1889" s="6">
        <v>50000</v>
      </c>
    </row>
    <row r="1890" spans="1:12" x14ac:dyDescent="0.25">
      <c r="I1890" t="s">
        <v>34</v>
      </c>
      <c r="J1890" s="6">
        <v>40000</v>
      </c>
    </row>
    <row r="1891" spans="1:12" x14ac:dyDescent="0.25">
      <c r="I1891" t="s">
        <v>19</v>
      </c>
      <c r="J1891" s="6">
        <v>150000</v>
      </c>
    </row>
    <row r="1892" spans="1:12" x14ac:dyDescent="0.25">
      <c r="I1892" t="s">
        <v>901</v>
      </c>
      <c r="J1892" s="6">
        <v>46000</v>
      </c>
    </row>
    <row r="1893" spans="1:12" x14ac:dyDescent="0.25">
      <c r="I1893" t="s">
        <v>902</v>
      </c>
      <c r="J1893" s="6">
        <v>90000</v>
      </c>
    </row>
    <row r="1894" spans="1:12" x14ac:dyDescent="0.25">
      <c r="I1894" t="s">
        <v>198</v>
      </c>
      <c r="J1894" s="6">
        <v>50000</v>
      </c>
    </row>
    <row r="1895" spans="1:12" x14ac:dyDescent="0.25">
      <c r="I1895" t="s">
        <v>903</v>
      </c>
      <c r="J1895" s="6">
        <v>200000</v>
      </c>
    </row>
    <row r="1896" spans="1:12" x14ac:dyDescent="0.25">
      <c r="I1896" t="s">
        <v>21</v>
      </c>
      <c r="J1896" s="6">
        <v>25000</v>
      </c>
    </row>
    <row r="1898" spans="1:12" x14ac:dyDescent="0.25">
      <c r="I1898" t="s">
        <v>22</v>
      </c>
      <c r="J1898" s="6">
        <f>SUM(J1883:J1897)</f>
        <v>1466000</v>
      </c>
    </row>
    <row r="1900" spans="1:12" x14ac:dyDescent="0.25">
      <c r="A1900" s="1" t="s">
        <v>0</v>
      </c>
      <c r="B1900" s="1" t="s">
        <v>1</v>
      </c>
      <c r="C1900" s="1" t="s">
        <v>2</v>
      </c>
      <c r="D1900" s="1" t="s">
        <v>3</v>
      </c>
      <c r="E1900" s="1" t="s">
        <v>4</v>
      </c>
      <c r="F1900" s="2" t="s">
        <v>5</v>
      </c>
      <c r="G1900" s="3" t="s">
        <v>6</v>
      </c>
      <c r="H1900" s="3" t="s">
        <v>7</v>
      </c>
      <c r="I1900" s="4" t="s">
        <v>8</v>
      </c>
      <c r="J1900" s="2" t="s">
        <v>9</v>
      </c>
      <c r="K1900" s="3" t="s">
        <v>10</v>
      </c>
      <c r="L1900" s="2" t="s">
        <v>9</v>
      </c>
    </row>
    <row r="1901" spans="1:12" x14ac:dyDescent="0.25">
      <c r="A1901" s="5">
        <v>45982</v>
      </c>
      <c r="B1901" t="s">
        <v>1208</v>
      </c>
      <c r="C1901" t="s">
        <v>936</v>
      </c>
      <c r="G1901" t="s">
        <v>1209</v>
      </c>
      <c r="H1901">
        <v>3012393603</v>
      </c>
      <c r="I1901" t="s">
        <v>75</v>
      </c>
    </row>
    <row r="1902" spans="1:12" x14ac:dyDescent="0.25">
      <c r="I1902" t="s">
        <v>70</v>
      </c>
    </row>
    <row r="1903" spans="1:12" x14ac:dyDescent="0.25">
      <c r="I1903" t="s">
        <v>1210</v>
      </c>
    </row>
    <row r="1904" spans="1:12" x14ac:dyDescent="0.25">
      <c r="I1904" t="s">
        <v>21</v>
      </c>
    </row>
    <row r="1906" spans="1:12" x14ac:dyDescent="0.25">
      <c r="I1906" t="s">
        <v>22</v>
      </c>
    </row>
    <row r="1908" spans="1:12" x14ac:dyDescent="0.25">
      <c r="A1908" s="1" t="s">
        <v>0</v>
      </c>
      <c r="B1908" s="1" t="s">
        <v>1</v>
      </c>
      <c r="C1908" s="1" t="s">
        <v>2</v>
      </c>
      <c r="D1908" s="1" t="s">
        <v>3</v>
      </c>
      <c r="E1908" s="1" t="s">
        <v>4</v>
      </c>
      <c r="F1908" s="2" t="s">
        <v>5</v>
      </c>
      <c r="G1908" s="3" t="s">
        <v>6</v>
      </c>
      <c r="H1908" s="3" t="s">
        <v>7</v>
      </c>
      <c r="I1908" s="4" t="s">
        <v>8</v>
      </c>
      <c r="J1908" s="2" t="s">
        <v>9</v>
      </c>
      <c r="K1908" s="3" t="s">
        <v>10</v>
      </c>
      <c r="L1908" s="2" t="s">
        <v>9</v>
      </c>
    </row>
    <row r="1909" spans="1:12" x14ac:dyDescent="0.25">
      <c r="A1909" s="5">
        <v>45982</v>
      </c>
      <c r="B1909" t="s">
        <v>190</v>
      </c>
      <c r="C1909" t="s">
        <v>1211</v>
      </c>
      <c r="E1909">
        <v>2022</v>
      </c>
      <c r="F1909" s="6">
        <v>30000</v>
      </c>
      <c r="G1909" t="s">
        <v>1212</v>
      </c>
      <c r="I1909" t="s">
        <v>1213</v>
      </c>
    </row>
    <row r="1910" spans="1:12" x14ac:dyDescent="0.25">
      <c r="I1910" t="s">
        <v>980</v>
      </c>
    </row>
    <row r="1911" spans="1:12" x14ac:dyDescent="0.25">
      <c r="I1911" t="s">
        <v>1214</v>
      </c>
    </row>
    <row r="1913" spans="1:12" x14ac:dyDescent="0.25">
      <c r="I1913" t="s">
        <v>22</v>
      </c>
    </row>
    <row r="1915" spans="1:12" x14ac:dyDescent="0.25">
      <c r="A1915" s="1" t="s">
        <v>0</v>
      </c>
      <c r="B1915" s="1" t="s">
        <v>1</v>
      </c>
      <c r="C1915" s="1" t="s">
        <v>2</v>
      </c>
      <c r="D1915" s="1" t="s">
        <v>3</v>
      </c>
      <c r="E1915" s="1" t="s">
        <v>4</v>
      </c>
      <c r="F1915" s="2" t="s">
        <v>5</v>
      </c>
      <c r="G1915" s="3" t="s">
        <v>6</v>
      </c>
      <c r="H1915" s="3" t="s">
        <v>7</v>
      </c>
      <c r="I1915" s="4" t="s">
        <v>8</v>
      </c>
      <c r="J1915" s="2" t="s">
        <v>9</v>
      </c>
      <c r="K1915" s="3" t="s">
        <v>10</v>
      </c>
      <c r="L1915" s="2" t="s">
        <v>9</v>
      </c>
    </row>
    <row r="1916" spans="1:12" x14ac:dyDescent="0.25">
      <c r="A1916" s="5">
        <v>45982</v>
      </c>
      <c r="B1916" t="s">
        <v>1218</v>
      </c>
      <c r="C1916" t="s">
        <v>1219</v>
      </c>
      <c r="E1916">
        <v>2025</v>
      </c>
      <c r="F1916" s="6">
        <v>5534</v>
      </c>
      <c r="G1916" t="s">
        <v>1220</v>
      </c>
      <c r="I1916" t="s">
        <v>70</v>
      </c>
    </row>
    <row r="1917" spans="1:12" x14ac:dyDescent="0.25">
      <c r="I1917" t="s">
        <v>382</v>
      </c>
    </row>
    <row r="1919" spans="1:12" x14ac:dyDescent="0.25">
      <c r="I1919" t="s">
        <v>22</v>
      </c>
    </row>
    <row r="1921" spans="1:12" x14ac:dyDescent="0.25">
      <c r="A1921" s="1" t="s">
        <v>0</v>
      </c>
      <c r="B1921" s="1" t="s">
        <v>1</v>
      </c>
      <c r="C1921" s="1" t="s">
        <v>2</v>
      </c>
      <c r="D1921" s="1" t="s">
        <v>3</v>
      </c>
      <c r="E1921" s="1" t="s">
        <v>4</v>
      </c>
      <c r="F1921" s="2" t="s">
        <v>5</v>
      </c>
      <c r="G1921" s="3" t="s">
        <v>6</v>
      </c>
      <c r="H1921" s="3" t="s">
        <v>7</v>
      </c>
      <c r="I1921" s="4" t="s">
        <v>8</v>
      </c>
      <c r="J1921" s="2" t="s">
        <v>9</v>
      </c>
      <c r="K1921" s="3" t="s">
        <v>10</v>
      </c>
      <c r="L1921" s="2" t="s">
        <v>9</v>
      </c>
    </row>
    <row r="1922" spans="1:12" x14ac:dyDescent="0.25">
      <c r="A1922" s="5">
        <v>45983</v>
      </c>
      <c r="B1922" t="s">
        <v>31</v>
      </c>
      <c r="C1922" t="s">
        <v>904</v>
      </c>
      <c r="D1922" t="s">
        <v>25</v>
      </c>
      <c r="F1922" s="6">
        <v>130718</v>
      </c>
      <c r="G1922" t="s">
        <v>905</v>
      </c>
      <c r="I1922" t="s">
        <v>123</v>
      </c>
      <c r="J1922" s="6">
        <v>150000</v>
      </c>
    </row>
    <row r="1923" spans="1:12" x14ac:dyDescent="0.25">
      <c r="I1923" t="s">
        <v>906</v>
      </c>
      <c r="J1923" s="6">
        <v>30000</v>
      </c>
    </row>
    <row r="1925" spans="1:12" x14ac:dyDescent="0.25">
      <c r="I1925" t="s">
        <v>22</v>
      </c>
      <c r="J1925" s="6">
        <f>SUM(J1922:J1924)</f>
        <v>180000</v>
      </c>
    </row>
    <row r="1927" spans="1:12" x14ac:dyDescent="0.25">
      <c r="A1927" s="1" t="s">
        <v>0</v>
      </c>
      <c r="B1927" s="1" t="s">
        <v>1</v>
      </c>
      <c r="C1927" s="1" t="s">
        <v>2</v>
      </c>
      <c r="D1927" s="1" t="s">
        <v>3</v>
      </c>
      <c r="E1927" s="1" t="s">
        <v>4</v>
      </c>
      <c r="F1927" s="2" t="s">
        <v>5</v>
      </c>
      <c r="G1927" s="3" t="s">
        <v>6</v>
      </c>
      <c r="H1927" s="3" t="s">
        <v>7</v>
      </c>
      <c r="I1927" s="4" t="s">
        <v>8</v>
      </c>
      <c r="J1927" s="2" t="s">
        <v>9</v>
      </c>
      <c r="K1927" s="3" t="s">
        <v>10</v>
      </c>
      <c r="L1927" s="2" t="s">
        <v>9</v>
      </c>
    </row>
    <row r="1928" spans="1:12" x14ac:dyDescent="0.25">
      <c r="A1928" s="5">
        <v>45983</v>
      </c>
      <c r="B1928" t="s">
        <v>91</v>
      </c>
      <c r="C1928" t="s">
        <v>907</v>
      </c>
      <c r="F1928" s="6">
        <v>136644</v>
      </c>
      <c r="G1928" t="s">
        <v>908</v>
      </c>
      <c r="I1928" t="s">
        <v>909</v>
      </c>
    </row>
    <row r="1930" spans="1:12" x14ac:dyDescent="0.25">
      <c r="I1930" t="s">
        <v>22</v>
      </c>
      <c r="J1930" s="6">
        <v>60000</v>
      </c>
    </row>
    <row r="1932" spans="1:12" x14ac:dyDescent="0.25">
      <c r="A1932" s="1" t="s">
        <v>0</v>
      </c>
      <c r="B1932" s="1" t="s">
        <v>1</v>
      </c>
      <c r="C1932" s="1" t="s">
        <v>2</v>
      </c>
      <c r="D1932" s="1" t="s">
        <v>3</v>
      </c>
      <c r="E1932" s="1" t="s">
        <v>4</v>
      </c>
      <c r="F1932" s="2" t="s">
        <v>5</v>
      </c>
      <c r="G1932" s="3" t="s">
        <v>6</v>
      </c>
      <c r="H1932" s="3" t="s">
        <v>7</v>
      </c>
      <c r="I1932" s="4" t="s">
        <v>8</v>
      </c>
      <c r="J1932" s="2" t="s">
        <v>9</v>
      </c>
      <c r="K1932" s="3" t="s">
        <v>10</v>
      </c>
      <c r="L1932" s="2" t="s">
        <v>9</v>
      </c>
    </row>
    <row r="1933" spans="1:12" x14ac:dyDescent="0.25">
      <c r="A1933" s="5">
        <v>45983</v>
      </c>
      <c r="B1933" t="s">
        <v>31</v>
      </c>
      <c r="C1933" t="s">
        <v>910</v>
      </c>
      <c r="D1933" t="s">
        <v>138</v>
      </c>
      <c r="F1933" s="6">
        <v>110350</v>
      </c>
      <c r="G1933" t="s">
        <v>319</v>
      </c>
      <c r="I1933" t="s">
        <v>34</v>
      </c>
      <c r="J1933" s="6">
        <v>220000</v>
      </c>
    </row>
    <row r="1934" spans="1:12" x14ac:dyDescent="0.25">
      <c r="I1934" t="s">
        <v>19</v>
      </c>
      <c r="J1934" s="6">
        <v>46000</v>
      </c>
    </row>
    <row r="1935" spans="1:12" x14ac:dyDescent="0.25">
      <c r="I1935" t="s">
        <v>911</v>
      </c>
      <c r="J1935" s="6">
        <v>150000</v>
      </c>
    </row>
    <row r="1936" spans="1:12" x14ac:dyDescent="0.25">
      <c r="I1936" t="s">
        <v>61</v>
      </c>
      <c r="J1936" s="6">
        <v>50000</v>
      </c>
    </row>
    <row r="1938" spans="1:12" x14ac:dyDescent="0.25">
      <c r="I1938" t="s">
        <v>22</v>
      </c>
      <c r="J1938" s="6">
        <f>SUM(J1933:J1937)</f>
        <v>466000</v>
      </c>
    </row>
    <row r="1940" spans="1:12" x14ac:dyDescent="0.25">
      <c r="A1940" s="1" t="s">
        <v>0</v>
      </c>
      <c r="B1940" s="1" t="s">
        <v>1</v>
      </c>
      <c r="C1940" s="1" t="s">
        <v>2</v>
      </c>
      <c r="D1940" s="1" t="s">
        <v>3</v>
      </c>
      <c r="E1940" s="1" t="s">
        <v>4</v>
      </c>
      <c r="F1940" s="2" t="s">
        <v>5</v>
      </c>
      <c r="G1940" s="3" t="s">
        <v>6</v>
      </c>
      <c r="H1940" s="3" t="s">
        <v>7</v>
      </c>
      <c r="I1940" s="4" t="s">
        <v>8</v>
      </c>
      <c r="J1940" s="2" t="s">
        <v>9</v>
      </c>
      <c r="K1940" s="3" t="s">
        <v>10</v>
      </c>
      <c r="L1940" s="2" t="s">
        <v>9</v>
      </c>
    </row>
    <row r="1941" spans="1:12" x14ac:dyDescent="0.25">
      <c r="A1941" s="5">
        <v>45983</v>
      </c>
      <c r="B1941" t="s">
        <v>912</v>
      </c>
      <c r="C1941" t="s">
        <v>913</v>
      </c>
      <c r="D1941" t="s">
        <v>138</v>
      </c>
      <c r="E1941">
        <v>2023</v>
      </c>
      <c r="F1941" s="6">
        <v>34802</v>
      </c>
      <c r="G1941" t="s">
        <v>975</v>
      </c>
      <c r="H1941">
        <v>3184175839</v>
      </c>
      <c r="I1941" t="s">
        <v>726</v>
      </c>
      <c r="J1941" s="6">
        <v>100000</v>
      </c>
    </row>
    <row r="1942" spans="1:12" x14ac:dyDescent="0.25">
      <c r="I1942" t="s">
        <v>429</v>
      </c>
      <c r="J1942" s="6">
        <v>26000</v>
      </c>
    </row>
    <row r="1943" spans="1:12" x14ac:dyDescent="0.25">
      <c r="I1943" t="s">
        <v>914</v>
      </c>
      <c r="J1943" s="6">
        <v>35000</v>
      </c>
    </row>
    <row r="1944" spans="1:12" x14ac:dyDescent="0.25">
      <c r="I1944" t="s">
        <v>61</v>
      </c>
      <c r="J1944" s="6">
        <v>180000</v>
      </c>
    </row>
    <row r="1945" spans="1:12" x14ac:dyDescent="0.25">
      <c r="I1945" t="s">
        <v>426</v>
      </c>
      <c r="J1945" s="6">
        <v>45000</v>
      </c>
    </row>
    <row r="1946" spans="1:12" x14ac:dyDescent="0.25">
      <c r="I1946" t="s">
        <v>18</v>
      </c>
      <c r="J1946" s="6">
        <v>55000</v>
      </c>
    </row>
    <row r="1948" spans="1:12" x14ac:dyDescent="0.25">
      <c r="I1948" t="s">
        <v>22</v>
      </c>
      <c r="J1948" s="6">
        <f>SUM(J1941:J1947)</f>
        <v>441000</v>
      </c>
    </row>
    <row r="1950" spans="1:12" x14ac:dyDescent="0.25">
      <c r="A1950" s="1" t="s">
        <v>0</v>
      </c>
      <c r="B1950" s="1" t="s">
        <v>1</v>
      </c>
      <c r="C1950" s="1" t="s">
        <v>2</v>
      </c>
      <c r="D1950" s="1" t="s">
        <v>3</v>
      </c>
      <c r="E1950" s="1" t="s">
        <v>4</v>
      </c>
      <c r="F1950" s="2" t="s">
        <v>5</v>
      </c>
      <c r="G1950" s="3" t="s">
        <v>6</v>
      </c>
      <c r="H1950" s="3" t="s">
        <v>7</v>
      </c>
      <c r="I1950" s="4" t="s">
        <v>8</v>
      </c>
      <c r="J1950" s="2" t="s">
        <v>9</v>
      </c>
      <c r="K1950" s="3" t="s">
        <v>10</v>
      </c>
      <c r="L1950" s="2" t="s">
        <v>9</v>
      </c>
    </row>
    <row r="1951" spans="1:12" x14ac:dyDescent="0.25">
      <c r="A1951" s="5">
        <v>45986</v>
      </c>
      <c r="B1951" t="s">
        <v>229</v>
      </c>
      <c r="C1951" t="s">
        <v>410</v>
      </c>
      <c r="D1951" t="s">
        <v>25</v>
      </c>
      <c r="E1951">
        <v>2025</v>
      </c>
      <c r="F1951" s="6">
        <v>17060</v>
      </c>
      <c r="G1951" t="s">
        <v>411</v>
      </c>
      <c r="H1951">
        <v>3022291584</v>
      </c>
      <c r="I1951" t="s">
        <v>915</v>
      </c>
      <c r="J1951" s="6">
        <v>40000</v>
      </c>
    </row>
    <row r="1952" spans="1:12" x14ac:dyDescent="0.25">
      <c r="I1952" t="s">
        <v>916</v>
      </c>
      <c r="J1952" s="6">
        <v>10000</v>
      </c>
    </row>
    <row r="1953" spans="1:12" x14ac:dyDescent="0.25">
      <c r="I1953" t="s">
        <v>198</v>
      </c>
      <c r="J1953" s="6">
        <v>35000</v>
      </c>
    </row>
    <row r="1954" spans="1:12" x14ac:dyDescent="0.25">
      <c r="I1954" t="s">
        <v>163</v>
      </c>
      <c r="J1954" s="6">
        <v>6000</v>
      </c>
    </row>
    <row r="1955" spans="1:12" x14ac:dyDescent="0.25">
      <c r="I1955" t="s">
        <v>414</v>
      </c>
      <c r="J1955" s="6">
        <v>40000</v>
      </c>
    </row>
    <row r="1956" spans="1:12" x14ac:dyDescent="0.25">
      <c r="I1956" t="s">
        <v>21</v>
      </c>
      <c r="J1956" s="6">
        <v>25000</v>
      </c>
    </row>
    <row r="1958" spans="1:12" x14ac:dyDescent="0.25">
      <c r="I1958" t="s">
        <v>22</v>
      </c>
      <c r="J1958" s="6">
        <f>SUM(J1951:J1957)</f>
        <v>156000</v>
      </c>
    </row>
    <row r="1960" spans="1:12" x14ac:dyDescent="0.25">
      <c r="A1960" s="1" t="s">
        <v>0</v>
      </c>
      <c r="B1960" s="1" t="s">
        <v>1</v>
      </c>
      <c r="C1960" s="1" t="s">
        <v>2</v>
      </c>
      <c r="D1960" s="1" t="s">
        <v>3</v>
      </c>
      <c r="E1960" s="1" t="s">
        <v>4</v>
      </c>
      <c r="F1960" s="2" t="s">
        <v>5</v>
      </c>
      <c r="G1960" s="3" t="s">
        <v>6</v>
      </c>
      <c r="H1960" s="3" t="s">
        <v>7</v>
      </c>
      <c r="I1960" s="4" t="s">
        <v>8</v>
      </c>
      <c r="J1960" s="2" t="s">
        <v>9</v>
      </c>
      <c r="K1960" s="3" t="s">
        <v>10</v>
      </c>
      <c r="L1960" s="2" t="s">
        <v>9</v>
      </c>
    </row>
    <row r="1961" spans="1:12" x14ac:dyDescent="0.25">
      <c r="A1961" s="5">
        <v>45986</v>
      </c>
      <c r="B1961" t="s">
        <v>31</v>
      </c>
      <c r="C1961" t="s">
        <v>917</v>
      </c>
      <c r="D1961" t="s">
        <v>25</v>
      </c>
      <c r="F1961" s="6">
        <v>65075</v>
      </c>
      <c r="G1961" t="s">
        <v>918</v>
      </c>
      <c r="I1961" t="s">
        <v>77</v>
      </c>
      <c r="J1961" s="6">
        <v>434000</v>
      </c>
    </row>
    <row r="1962" spans="1:12" x14ac:dyDescent="0.25">
      <c r="I1962" t="s">
        <v>919</v>
      </c>
      <c r="J1962" s="6">
        <v>205000</v>
      </c>
    </row>
    <row r="1963" spans="1:12" x14ac:dyDescent="0.25">
      <c r="I1963" t="s">
        <v>920</v>
      </c>
      <c r="J1963" s="6">
        <v>150000</v>
      </c>
    </row>
    <row r="1964" spans="1:12" x14ac:dyDescent="0.25">
      <c r="I1964" t="s">
        <v>921</v>
      </c>
      <c r="J1964" s="6">
        <v>45000</v>
      </c>
    </row>
    <row r="1966" spans="1:12" x14ac:dyDescent="0.25">
      <c r="I1966" t="s">
        <v>22</v>
      </c>
      <c r="J1966" s="6">
        <f>SUM(J1961:J1965)</f>
        <v>834000</v>
      </c>
    </row>
    <row r="1968" spans="1:12" x14ac:dyDescent="0.25">
      <c r="A1968" s="1" t="s">
        <v>0</v>
      </c>
      <c r="B1968" s="1" t="s">
        <v>1</v>
      </c>
      <c r="C1968" s="1" t="s">
        <v>2</v>
      </c>
      <c r="D1968" s="1" t="s">
        <v>3</v>
      </c>
      <c r="E1968" s="1" t="s">
        <v>4</v>
      </c>
      <c r="F1968" s="2" t="s">
        <v>5</v>
      </c>
      <c r="G1968" s="3" t="s">
        <v>6</v>
      </c>
      <c r="H1968" s="3" t="s">
        <v>7</v>
      </c>
      <c r="I1968" s="4" t="s">
        <v>8</v>
      </c>
      <c r="J1968" s="2" t="s">
        <v>9</v>
      </c>
      <c r="K1968" s="3" t="s">
        <v>10</v>
      </c>
      <c r="L1968" s="2" t="s">
        <v>9</v>
      </c>
    </row>
    <row r="1969" spans="1:12" x14ac:dyDescent="0.25">
      <c r="A1969" s="5">
        <v>45986</v>
      </c>
      <c r="B1969" t="s">
        <v>31</v>
      </c>
      <c r="C1969" t="s">
        <v>212</v>
      </c>
      <c r="D1969" t="s">
        <v>45</v>
      </c>
      <c r="G1969" t="s">
        <v>922</v>
      </c>
      <c r="I1969" t="s">
        <v>70</v>
      </c>
      <c r="J1969" s="6">
        <v>390000</v>
      </c>
    </row>
    <row r="1970" spans="1:12" x14ac:dyDescent="0.25">
      <c r="I1970" t="s">
        <v>198</v>
      </c>
      <c r="J1970" s="6">
        <v>160000</v>
      </c>
    </row>
    <row r="1971" spans="1:12" x14ac:dyDescent="0.25">
      <c r="I1971" t="s">
        <v>710</v>
      </c>
      <c r="J1971" s="6">
        <v>25000</v>
      </c>
    </row>
    <row r="1972" spans="1:12" x14ac:dyDescent="0.25">
      <c r="I1972" t="s">
        <v>122</v>
      </c>
      <c r="J1972" s="6">
        <v>140000</v>
      </c>
    </row>
    <row r="1973" spans="1:12" x14ac:dyDescent="0.25">
      <c r="I1973" t="s">
        <v>108</v>
      </c>
      <c r="J1973" s="6">
        <v>80000</v>
      </c>
    </row>
    <row r="1975" spans="1:12" x14ac:dyDescent="0.25">
      <c r="I1975" t="s">
        <v>22</v>
      </c>
      <c r="J1975" s="6">
        <f>SUM(J1969:J1974)</f>
        <v>795000</v>
      </c>
    </row>
    <row r="1977" spans="1:12" x14ac:dyDescent="0.25">
      <c r="A1977" s="1" t="s">
        <v>0</v>
      </c>
      <c r="B1977" s="1" t="s">
        <v>1</v>
      </c>
      <c r="C1977" s="1" t="s">
        <v>2</v>
      </c>
      <c r="D1977" s="1" t="s">
        <v>3</v>
      </c>
      <c r="E1977" s="1" t="s">
        <v>4</v>
      </c>
      <c r="F1977" s="2" t="s">
        <v>5</v>
      </c>
      <c r="G1977" s="3" t="s">
        <v>6</v>
      </c>
      <c r="H1977" s="3" t="s">
        <v>7</v>
      </c>
      <c r="I1977" s="4" t="s">
        <v>8</v>
      </c>
      <c r="J1977" s="2" t="s">
        <v>9</v>
      </c>
      <c r="K1977" s="3" t="s">
        <v>10</v>
      </c>
      <c r="L1977" s="2" t="s">
        <v>9</v>
      </c>
    </row>
    <row r="1978" spans="1:12" x14ac:dyDescent="0.25">
      <c r="A1978" s="5">
        <v>45986</v>
      </c>
      <c r="B1978" t="s">
        <v>1080</v>
      </c>
      <c r="C1978" t="s">
        <v>1215</v>
      </c>
      <c r="E1978">
        <v>2021</v>
      </c>
      <c r="F1978" s="6">
        <v>10746</v>
      </c>
      <c r="G1978" t="s">
        <v>1216</v>
      </c>
      <c r="H1978">
        <v>3105540240</v>
      </c>
      <c r="I1978" t="s">
        <v>1217</v>
      </c>
    </row>
    <row r="1980" spans="1:12" x14ac:dyDescent="0.25">
      <c r="I1980" t="s">
        <v>22</v>
      </c>
    </row>
    <row r="1982" spans="1:12" x14ac:dyDescent="0.25">
      <c r="A1982" s="1" t="s">
        <v>0</v>
      </c>
      <c r="B1982" s="1" t="s">
        <v>1</v>
      </c>
      <c r="C1982" s="1" t="s">
        <v>2</v>
      </c>
      <c r="D1982" s="1" t="s">
        <v>3</v>
      </c>
      <c r="E1982" s="1" t="s">
        <v>4</v>
      </c>
      <c r="F1982" s="2" t="s">
        <v>5</v>
      </c>
      <c r="G1982" s="3" t="s">
        <v>6</v>
      </c>
      <c r="H1982" s="3" t="s">
        <v>7</v>
      </c>
      <c r="I1982" s="4" t="s">
        <v>8</v>
      </c>
      <c r="J1982" s="2" t="s">
        <v>9</v>
      </c>
      <c r="K1982" s="3" t="s">
        <v>10</v>
      </c>
      <c r="L1982" s="2" t="s">
        <v>9</v>
      </c>
    </row>
    <row r="1983" spans="1:12" x14ac:dyDescent="0.25">
      <c r="A1983" s="5">
        <v>45988</v>
      </c>
      <c r="B1983" t="s">
        <v>31</v>
      </c>
      <c r="C1983" t="s">
        <v>927</v>
      </c>
      <c r="D1983" t="s">
        <v>25</v>
      </c>
      <c r="F1983" s="6">
        <v>88832</v>
      </c>
      <c r="G1983" t="s">
        <v>928</v>
      </c>
      <c r="I1983" t="s">
        <v>553</v>
      </c>
      <c r="J1983" s="6">
        <v>90000</v>
      </c>
    </row>
    <row r="1984" spans="1:12" x14ac:dyDescent="0.25">
      <c r="I1984" t="s">
        <v>929</v>
      </c>
      <c r="J1984" s="6">
        <v>35000</v>
      </c>
    </row>
    <row r="1986" spans="1:12" x14ac:dyDescent="0.25">
      <c r="I1986" t="s">
        <v>22</v>
      </c>
      <c r="J1986" s="6">
        <f>SUM(J1983:J1985)</f>
        <v>125000</v>
      </c>
    </row>
    <row r="1988" spans="1:12" x14ac:dyDescent="0.25">
      <c r="A1988" s="1" t="s">
        <v>0</v>
      </c>
      <c r="B1988" s="1" t="s">
        <v>1</v>
      </c>
      <c r="C1988" s="1" t="s">
        <v>2</v>
      </c>
      <c r="D1988" s="1" t="s">
        <v>3</v>
      </c>
      <c r="E1988" s="1" t="s">
        <v>4</v>
      </c>
      <c r="F1988" s="2" t="s">
        <v>5</v>
      </c>
      <c r="G1988" s="3" t="s">
        <v>6</v>
      </c>
      <c r="H1988" s="3" t="s">
        <v>7</v>
      </c>
      <c r="I1988" s="4" t="s">
        <v>8</v>
      </c>
      <c r="J1988" s="2" t="s">
        <v>9</v>
      </c>
      <c r="K1988" s="3" t="s">
        <v>10</v>
      </c>
      <c r="L1988" s="2" t="s">
        <v>9</v>
      </c>
    </row>
    <row r="1989" spans="1:12" x14ac:dyDescent="0.25">
      <c r="A1989" s="5">
        <v>45988</v>
      </c>
      <c r="B1989" t="s">
        <v>935</v>
      </c>
      <c r="C1989" t="s">
        <v>936</v>
      </c>
      <c r="F1989" s="6">
        <v>38394</v>
      </c>
      <c r="H1989">
        <v>302393603</v>
      </c>
      <c r="I1989" t="s">
        <v>70</v>
      </c>
      <c r="J1989" s="6">
        <v>250000</v>
      </c>
    </row>
    <row r="1990" spans="1:12" x14ac:dyDescent="0.25">
      <c r="I1990" t="s">
        <v>224</v>
      </c>
      <c r="J1990" s="6">
        <v>40000</v>
      </c>
    </row>
    <row r="1991" spans="1:12" x14ac:dyDescent="0.25">
      <c r="I1991" t="s">
        <v>21</v>
      </c>
      <c r="J1991" s="6">
        <v>25000</v>
      </c>
    </row>
    <row r="1992" spans="1:12" x14ac:dyDescent="0.25">
      <c r="I1992" t="s">
        <v>16</v>
      </c>
      <c r="J1992" s="6">
        <v>30000</v>
      </c>
    </row>
    <row r="1994" spans="1:12" x14ac:dyDescent="0.25">
      <c r="I1994" t="s">
        <v>22</v>
      </c>
      <c r="J1994" s="6">
        <f>SUM(J1989:J1993)</f>
        <v>345000</v>
      </c>
    </row>
    <row r="1996" spans="1:12" x14ac:dyDescent="0.25">
      <c r="A1996" s="1" t="s">
        <v>0</v>
      </c>
      <c r="B1996" s="1" t="s">
        <v>1</v>
      </c>
      <c r="C1996" s="1" t="s">
        <v>2</v>
      </c>
      <c r="D1996" s="1" t="s">
        <v>3</v>
      </c>
      <c r="E1996" s="1" t="s">
        <v>4</v>
      </c>
      <c r="F1996" s="2" t="s">
        <v>5</v>
      </c>
      <c r="G1996" s="3" t="s">
        <v>6</v>
      </c>
      <c r="H1996" s="3" t="s">
        <v>7</v>
      </c>
      <c r="I1996" s="4" t="s">
        <v>8</v>
      </c>
      <c r="J1996" s="2" t="s">
        <v>9</v>
      </c>
      <c r="K1996" s="3" t="s">
        <v>10</v>
      </c>
      <c r="L1996" s="2" t="s">
        <v>9</v>
      </c>
    </row>
    <row r="1997" spans="1:12" x14ac:dyDescent="0.25">
      <c r="A1997" s="5">
        <v>45989</v>
      </c>
      <c r="B1997" t="s">
        <v>110</v>
      </c>
      <c r="C1997" t="s">
        <v>937</v>
      </c>
      <c r="D1997" t="s">
        <v>12</v>
      </c>
      <c r="F1997" s="6">
        <v>71626</v>
      </c>
      <c r="G1997" t="s">
        <v>223</v>
      </c>
      <c r="I1997" t="s">
        <v>36</v>
      </c>
      <c r="J1997" s="6">
        <v>190000</v>
      </c>
    </row>
    <row r="1998" spans="1:12" x14ac:dyDescent="0.25">
      <c r="I1998" t="s">
        <v>34</v>
      </c>
      <c r="J1998" s="6">
        <v>156000</v>
      </c>
    </row>
    <row r="1999" spans="1:12" x14ac:dyDescent="0.25">
      <c r="I1999" t="s">
        <v>19</v>
      </c>
      <c r="J1999" s="6">
        <v>46000</v>
      </c>
    </row>
    <row r="2000" spans="1:12" x14ac:dyDescent="0.25">
      <c r="I2000" t="s">
        <v>938</v>
      </c>
      <c r="J2000" s="6">
        <v>107000</v>
      </c>
    </row>
    <row r="2001" spans="1:12" x14ac:dyDescent="0.25">
      <c r="I2001" t="s">
        <v>21</v>
      </c>
      <c r="J2001" s="6">
        <v>25000</v>
      </c>
    </row>
    <row r="2003" spans="1:12" x14ac:dyDescent="0.25">
      <c r="I2003" t="s">
        <v>22</v>
      </c>
      <c r="J2003" s="6">
        <f>SUM(J1997:J2002)</f>
        <v>524000</v>
      </c>
    </row>
    <row r="2005" spans="1:12" x14ac:dyDescent="0.25">
      <c r="A2005" s="1" t="s">
        <v>0</v>
      </c>
      <c r="B2005" s="1" t="s">
        <v>1</v>
      </c>
      <c r="C2005" s="1" t="s">
        <v>2</v>
      </c>
      <c r="D2005" s="1" t="s">
        <v>3</v>
      </c>
      <c r="E2005" s="1" t="s">
        <v>4</v>
      </c>
      <c r="F2005" s="2" t="s">
        <v>5</v>
      </c>
      <c r="G2005" s="3" t="s">
        <v>6</v>
      </c>
      <c r="H2005" s="3" t="s">
        <v>7</v>
      </c>
      <c r="I2005" s="4" t="s">
        <v>8</v>
      </c>
      <c r="J2005" s="2" t="s">
        <v>9</v>
      </c>
      <c r="K2005" s="3" t="s">
        <v>10</v>
      </c>
      <c r="L2005" s="2" t="s">
        <v>9</v>
      </c>
    </row>
    <row r="2006" spans="1:12" x14ac:dyDescent="0.25">
      <c r="A2006" s="5">
        <v>45989</v>
      </c>
      <c r="B2006" t="s">
        <v>31</v>
      </c>
      <c r="C2006" t="s">
        <v>939</v>
      </c>
      <c r="D2006" t="s">
        <v>45</v>
      </c>
      <c r="G2006" t="s">
        <v>740</v>
      </c>
      <c r="I2006" t="s">
        <v>464</v>
      </c>
      <c r="J2006" s="6">
        <v>370000</v>
      </c>
    </row>
    <row r="2007" spans="1:12" x14ac:dyDescent="0.25">
      <c r="I2007" t="s">
        <v>61</v>
      </c>
      <c r="J2007" s="6">
        <v>80000</v>
      </c>
    </row>
    <row r="2008" spans="1:12" x14ac:dyDescent="0.25">
      <c r="I2008" t="s">
        <v>122</v>
      </c>
      <c r="J2008" s="6">
        <v>140000</v>
      </c>
    </row>
    <row r="2009" spans="1:12" x14ac:dyDescent="0.25">
      <c r="I2009" t="s">
        <v>21</v>
      </c>
      <c r="J2009" s="6">
        <v>25000</v>
      </c>
    </row>
    <row r="2011" spans="1:12" x14ac:dyDescent="0.25">
      <c r="I2011" t="s">
        <v>22</v>
      </c>
      <c r="J2011" s="6">
        <f>SUM(J2006:J2010)</f>
        <v>615000</v>
      </c>
    </row>
    <row r="2013" spans="1:12" x14ac:dyDescent="0.25">
      <c r="A2013" s="1" t="s">
        <v>0</v>
      </c>
      <c r="B2013" s="1" t="s">
        <v>1</v>
      </c>
      <c r="C2013" s="1" t="s">
        <v>2</v>
      </c>
      <c r="D2013" s="1" t="s">
        <v>3</v>
      </c>
      <c r="E2013" s="1" t="s">
        <v>4</v>
      </c>
      <c r="F2013" s="2" t="s">
        <v>5</v>
      </c>
      <c r="G2013" s="3" t="s">
        <v>6</v>
      </c>
      <c r="H2013" s="3" t="s">
        <v>7</v>
      </c>
      <c r="I2013" s="4" t="s">
        <v>8</v>
      </c>
      <c r="J2013" s="2" t="s">
        <v>9</v>
      </c>
      <c r="K2013" s="3" t="s">
        <v>10</v>
      </c>
      <c r="L2013" s="2" t="s">
        <v>9</v>
      </c>
    </row>
    <row r="2014" spans="1:12" x14ac:dyDescent="0.25">
      <c r="A2014" s="5">
        <v>45989</v>
      </c>
      <c r="B2014" t="s">
        <v>38</v>
      </c>
      <c r="C2014" t="s">
        <v>974</v>
      </c>
      <c r="E2014">
        <v>2012</v>
      </c>
      <c r="F2014" s="6">
        <v>25059</v>
      </c>
      <c r="G2014" t="s">
        <v>930</v>
      </c>
      <c r="H2014">
        <v>3012503575</v>
      </c>
      <c r="I2014" t="s">
        <v>36</v>
      </c>
      <c r="J2014" s="6">
        <v>190000</v>
      </c>
    </row>
    <row r="2015" spans="1:12" x14ac:dyDescent="0.25">
      <c r="I2015" t="s">
        <v>198</v>
      </c>
      <c r="J2015" s="6">
        <v>160000</v>
      </c>
    </row>
    <row r="2016" spans="1:12" x14ac:dyDescent="0.25">
      <c r="I2016" t="s">
        <v>931</v>
      </c>
      <c r="J2016" s="6">
        <v>35000</v>
      </c>
    </row>
    <row r="2017" spans="1:12" x14ac:dyDescent="0.25">
      <c r="I2017" t="s">
        <v>932</v>
      </c>
      <c r="J2017" s="6">
        <v>40000</v>
      </c>
    </row>
    <row r="2019" spans="1:12" x14ac:dyDescent="0.25">
      <c r="I2019" t="s">
        <v>22</v>
      </c>
      <c r="J2019" s="6">
        <f>SUM(J2014:J2018)</f>
        <v>425000</v>
      </c>
    </row>
    <row r="2021" spans="1:12" x14ac:dyDescent="0.25">
      <c r="A2021" s="1" t="s">
        <v>0</v>
      </c>
      <c r="B2021" s="1" t="s">
        <v>1</v>
      </c>
      <c r="C2021" s="1" t="s">
        <v>2</v>
      </c>
      <c r="D2021" s="1" t="s">
        <v>3</v>
      </c>
      <c r="E2021" s="1" t="s">
        <v>4</v>
      </c>
      <c r="F2021" s="2" t="s">
        <v>5</v>
      </c>
      <c r="G2021" s="3" t="s">
        <v>6</v>
      </c>
      <c r="H2021" s="3" t="s">
        <v>7</v>
      </c>
      <c r="I2021" s="4" t="s">
        <v>8</v>
      </c>
      <c r="J2021" s="2" t="s">
        <v>9</v>
      </c>
      <c r="K2021" s="3" t="s">
        <v>10</v>
      </c>
      <c r="L2021" s="2" t="s">
        <v>9</v>
      </c>
    </row>
    <row r="2022" spans="1:12" x14ac:dyDescent="0.25">
      <c r="A2022" s="5">
        <v>45989</v>
      </c>
      <c r="B2022" t="s">
        <v>190</v>
      </c>
      <c r="D2022" t="s">
        <v>25</v>
      </c>
      <c r="G2022" t="s">
        <v>657</v>
      </c>
      <c r="I2022" t="s">
        <v>933</v>
      </c>
      <c r="J2022" s="6">
        <v>195000</v>
      </c>
    </row>
    <row r="2023" spans="1:12" x14ac:dyDescent="0.25">
      <c r="I2023" t="s">
        <v>21</v>
      </c>
      <c r="J2023" s="6">
        <v>25000</v>
      </c>
    </row>
    <row r="2024" spans="1:12" x14ac:dyDescent="0.25">
      <c r="I2024" t="s">
        <v>198</v>
      </c>
      <c r="J2024" s="6">
        <v>35000</v>
      </c>
    </row>
    <row r="2025" spans="1:12" x14ac:dyDescent="0.25">
      <c r="I2025" t="s">
        <v>934</v>
      </c>
      <c r="J2025" s="6">
        <v>35000</v>
      </c>
    </row>
    <row r="2027" spans="1:12" x14ac:dyDescent="0.25">
      <c r="I2027" t="s">
        <v>22</v>
      </c>
    </row>
    <row r="2029" spans="1:12" x14ac:dyDescent="0.25">
      <c r="A2029" s="1" t="s">
        <v>0</v>
      </c>
      <c r="B2029" s="1" t="s">
        <v>1</v>
      </c>
      <c r="C2029" s="1" t="s">
        <v>2</v>
      </c>
      <c r="D2029" s="1" t="s">
        <v>3</v>
      </c>
      <c r="E2029" s="1" t="s">
        <v>4</v>
      </c>
      <c r="F2029" s="2" t="s">
        <v>5</v>
      </c>
      <c r="G2029" s="3" t="s">
        <v>6</v>
      </c>
      <c r="H2029" s="3" t="s">
        <v>7</v>
      </c>
      <c r="I2029" s="4" t="s">
        <v>8</v>
      </c>
      <c r="J2029" s="2" t="s">
        <v>9</v>
      </c>
      <c r="K2029" s="3" t="s">
        <v>10</v>
      </c>
      <c r="L2029" s="2" t="s">
        <v>9</v>
      </c>
    </row>
    <row r="2030" spans="1:12" x14ac:dyDescent="0.25">
      <c r="A2030" s="5">
        <v>45989</v>
      </c>
      <c r="B2030" t="s">
        <v>647</v>
      </c>
      <c r="C2030" t="s">
        <v>849</v>
      </c>
      <c r="D2030" t="s">
        <v>45</v>
      </c>
      <c r="F2030" s="6">
        <v>80835</v>
      </c>
      <c r="G2030" t="s">
        <v>850</v>
      </c>
      <c r="I2030" t="s">
        <v>291</v>
      </c>
      <c r="J2030" s="6">
        <v>390000</v>
      </c>
    </row>
    <row r="2031" spans="1:12" x14ac:dyDescent="0.25">
      <c r="I2031" t="s">
        <v>851</v>
      </c>
      <c r="J2031" s="6">
        <v>50000</v>
      </c>
    </row>
    <row r="2032" spans="1:12" x14ac:dyDescent="0.25">
      <c r="I2032" t="s">
        <v>21</v>
      </c>
      <c r="J2032" s="6">
        <v>25000</v>
      </c>
    </row>
    <row r="2033" spans="1:12" x14ac:dyDescent="0.25">
      <c r="I2033" t="s">
        <v>75</v>
      </c>
      <c r="J2033" s="6">
        <v>305000</v>
      </c>
    </row>
    <row r="2034" spans="1:12" x14ac:dyDescent="0.25">
      <c r="I2034" t="s">
        <v>18</v>
      </c>
      <c r="J2034" s="6">
        <v>156000</v>
      </c>
    </row>
    <row r="2035" spans="1:12" x14ac:dyDescent="0.25">
      <c r="I2035" t="s">
        <v>19</v>
      </c>
      <c r="J2035" s="6">
        <v>46000</v>
      </c>
    </row>
    <row r="2036" spans="1:12" x14ac:dyDescent="0.25">
      <c r="I2036" t="s">
        <v>35</v>
      </c>
      <c r="J2036" s="6">
        <v>150000</v>
      </c>
    </row>
    <row r="2038" spans="1:12" x14ac:dyDescent="0.25">
      <c r="I2038" t="s">
        <v>22</v>
      </c>
      <c r="J2038" s="6">
        <f>SUM(J2030:J2037)</f>
        <v>1122000</v>
      </c>
    </row>
    <row r="2040" spans="1:12" x14ac:dyDescent="0.25">
      <c r="A2040" s="1" t="s">
        <v>0</v>
      </c>
      <c r="B2040" s="1" t="s">
        <v>1</v>
      </c>
      <c r="C2040" s="1" t="s">
        <v>2</v>
      </c>
      <c r="D2040" s="1" t="s">
        <v>3</v>
      </c>
      <c r="E2040" s="1" t="s">
        <v>4</v>
      </c>
      <c r="F2040" s="2" t="s">
        <v>5</v>
      </c>
      <c r="G2040" s="3" t="s">
        <v>6</v>
      </c>
      <c r="H2040" s="3" t="s">
        <v>7</v>
      </c>
      <c r="I2040" s="4" t="s">
        <v>8</v>
      </c>
      <c r="J2040" s="2" t="s">
        <v>9</v>
      </c>
      <c r="K2040" s="3" t="s">
        <v>10</v>
      </c>
      <c r="L2040" s="2" t="s">
        <v>9</v>
      </c>
    </row>
    <row r="2041" spans="1:12" x14ac:dyDescent="0.25">
      <c r="A2041" s="5">
        <v>45990</v>
      </c>
      <c r="B2041" t="s">
        <v>923</v>
      </c>
      <c r="C2041" t="s">
        <v>924</v>
      </c>
      <c r="D2041" t="s">
        <v>25</v>
      </c>
      <c r="E2041">
        <v>2025</v>
      </c>
      <c r="F2041" s="6">
        <v>15882</v>
      </c>
      <c r="G2041" t="s">
        <v>973</v>
      </c>
      <c r="H2041">
        <v>3508913465</v>
      </c>
      <c r="I2041" t="s">
        <v>70</v>
      </c>
      <c r="J2041" s="6">
        <v>280000</v>
      </c>
    </row>
    <row r="2042" spans="1:12" x14ac:dyDescent="0.25">
      <c r="I2042" t="s">
        <v>34</v>
      </c>
      <c r="J2042" s="6">
        <v>60000</v>
      </c>
    </row>
    <row r="2043" spans="1:12" x14ac:dyDescent="0.25">
      <c r="I2043" t="s">
        <v>19</v>
      </c>
      <c r="J2043" s="6">
        <v>25000</v>
      </c>
    </row>
    <row r="2044" spans="1:12" x14ac:dyDescent="0.25">
      <c r="I2044" t="s">
        <v>925</v>
      </c>
      <c r="J2044" s="6">
        <v>75000</v>
      </c>
    </row>
    <row r="2045" spans="1:12" x14ac:dyDescent="0.25">
      <c r="I2045" t="s">
        <v>926</v>
      </c>
    </row>
    <row r="2047" spans="1:12" x14ac:dyDescent="0.25">
      <c r="I2047" t="s">
        <v>22</v>
      </c>
      <c r="J2047" s="6">
        <f>SUM(J2041:J2046)</f>
        <v>440000</v>
      </c>
    </row>
    <row r="2049" spans="1:12" x14ac:dyDescent="0.25">
      <c r="A2049" s="1" t="s">
        <v>0</v>
      </c>
      <c r="B2049" s="1" t="s">
        <v>1</v>
      </c>
      <c r="C2049" s="1" t="s">
        <v>2</v>
      </c>
      <c r="D2049" s="1" t="s">
        <v>3</v>
      </c>
      <c r="E2049" s="1" t="s">
        <v>4</v>
      </c>
      <c r="F2049" s="2" t="s">
        <v>5</v>
      </c>
      <c r="G2049" s="3" t="s">
        <v>6</v>
      </c>
      <c r="H2049" s="3" t="s">
        <v>7</v>
      </c>
      <c r="I2049" s="4" t="s">
        <v>8</v>
      </c>
      <c r="J2049" s="2" t="s">
        <v>9</v>
      </c>
      <c r="K2049" s="3" t="s">
        <v>10</v>
      </c>
      <c r="L2049" s="2" t="s">
        <v>9</v>
      </c>
    </row>
    <row r="2050" spans="1:12" x14ac:dyDescent="0.25">
      <c r="A2050" s="5">
        <v>45990</v>
      </c>
      <c r="B2050" t="s">
        <v>190</v>
      </c>
      <c r="C2050" t="s">
        <v>940</v>
      </c>
      <c r="F2050" s="6">
        <v>24294</v>
      </c>
      <c r="I2050" t="s">
        <v>34</v>
      </c>
      <c r="J2050" s="6">
        <v>80000</v>
      </c>
    </row>
    <row r="2051" spans="1:12" x14ac:dyDescent="0.25">
      <c r="I2051" t="s">
        <v>941</v>
      </c>
      <c r="J2051" s="6">
        <v>60000</v>
      </c>
    </row>
    <row r="2052" spans="1:12" x14ac:dyDescent="0.25">
      <c r="I2052" t="s">
        <v>19</v>
      </c>
      <c r="J2052" s="6">
        <v>18000</v>
      </c>
    </row>
    <row r="2053" spans="1:12" x14ac:dyDescent="0.25">
      <c r="I2053" t="s">
        <v>50</v>
      </c>
      <c r="J2053" s="6">
        <v>30000</v>
      </c>
    </row>
    <row r="2054" spans="1:12" x14ac:dyDescent="0.25">
      <c r="I2054" t="s">
        <v>61</v>
      </c>
      <c r="J2054" s="6">
        <v>10000</v>
      </c>
    </row>
    <row r="2056" spans="1:12" x14ac:dyDescent="0.25">
      <c r="I2056" t="s">
        <v>22</v>
      </c>
      <c r="J2056" s="6">
        <f>SUM(J2050:J2055)</f>
        <v>198000</v>
      </c>
    </row>
    <row r="2058" spans="1:12" x14ac:dyDescent="0.25">
      <c r="A2058" s="1" t="s">
        <v>0</v>
      </c>
      <c r="B2058" s="1" t="s">
        <v>1</v>
      </c>
      <c r="C2058" s="1" t="s">
        <v>2</v>
      </c>
      <c r="D2058" s="1" t="s">
        <v>3</v>
      </c>
      <c r="E2058" s="1" t="s">
        <v>4</v>
      </c>
      <c r="F2058" s="2" t="s">
        <v>5</v>
      </c>
      <c r="G2058" s="3" t="s">
        <v>6</v>
      </c>
      <c r="H2058" s="3" t="s">
        <v>7</v>
      </c>
      <c r="I2058" s="4" t="s">
        <v>8</v>
      </c>
      <c r="J2058" s="2" t="s">
        <v>9</v>
      </c>
      <c r="K2058" s="3" t="s">
        <v>10</v>
      </c>
      <c r="L2058" s="2" t="s">
        <v>9</v>
      </c>
    </row>
    <row r="2059" spans="1:12" x14ac:dyDescent="0.25">
      <c r="A2059" s="5">
        <v>45990</v>
      </c>
      <c r="B2059" t="s">
        <v>31</v>
      </c>
      <c r="C2059" t="s">
        <v>942</v>
      </c>
      <c r="D2059" t="s">
        <v>45</v>
      </c>
      <c r="F2059" s="6">
        <v>40410</v>
      </c>
      <c r="G2059" t="s">
        <v>943</v>
      </c>
      <c r="I2059" t="s">
        <v>34</v>
      </c>
      <c r="J2059" s="6">
        <v>220000</v>
      </c>
    </row>
    <row r="2060" spans="1:12" x14ac:dyDescent="0.25">
      <c r="I2060" t="s">
        <v>19</v>
      </c>
      <c r="J2060" s="6">
        <v>46000</v>
      </c>
    </row>
    <row r="2061" spans="1:12" x14ac:dyDescent="0.25">
      <c r="I2061" t="s">
        <v>37</v>
      </c>
      <c r="J2061" s="6">
        <v>40000</v>
      </c>
    </row>
    <row r="2062" spans="1:12" x14ac:dyDescent="0.25">
      <c r="I2062" t="s">
        <v>414</v>
      </c>
      <c r="J2062" s="6">
        <v>60000</v>
      </c>
    </row>
    <row r="2063" spans="1:12" x14ac:dyDescent="0.25">
      <c r="I2063" t="s">
        <v>61</v>
      </c>
      <c r="J2063" s="6">
        <v>40000</v>
      </c>
    </row>
    <row r="2065" spans="1:12" x14ac:dyDescent="0.25">
      <c r="I2065" t="s">
        <v>22</v>
      </c>
      <c r="J2065" s="6">
        <f>SUM(J2059:J2064)</f>
        <v>406000</v>
      </c>
    </row>
    <row r="2067" spans="1:12" x14ac:dyDescent="0.25">
      <c r="A2067" s="1" t="s">
        <v>0</v>
      </c>
      <c r="B2067" s="1" t="s">
        <v>1</v>
      </c>
      <c r="C2067" s="1" t="s">
        <v>2</v>
      </c>
      <c r="D2067" s="1" t="s">
        <v>3</v>
      </c>
      <c r="E2067" s="1" t="s">
        <v>4</v>
      </c>
      <c r="F2067" s="2" t="s">
        <v>5</v>
      </c>
      <c r="G2067" s="3" t="s">
        <v>6</v>
      </c>
      <c r="H2067" s="3" t="s">
        <v>7</v>
      </c>
      <c r="I2067" s="4" t="s">
        <v>8</v>
      </c>
      <c r="J2067" s="2" t="s">
        <v>9</v>
      </c>
      <c r="K2067" s="3" t="s">
        <v>10</v>
      </c>
      <c r="L2067" s="2" t="s">
        <v>9</v>
      </c>
    </row>
    <row r="2068" spans="1:12" x14ac:dyDescent="0.25">
      <c r="A2068" s="5">
        <v>45990</v>
      </c>
      <c r="B2068" t="s">
        <v>1178</v>
      </c>
      <c r="C2068" t="s">
        <v>1179</v>
      </c>
      <c r="E2068">
        <v>2024</v>
      </c>
      <c r="G2068" t="s">
        <v>1180</v>
      </c>
      <c r="I2068" t="s">
        <v>34</v>
      </c>
      <c r="J2068" s="6">
        <v>48000</v>
      </c>
    </row>
    <row r="2069" spans="1:12" x14ac:dyDescent="0.25">
      <c r="I2069" t="s">
        <v>36</v>
      </c>
      <c r="J2069" s="6">
        <v>150000</v>
      </c>
    </row>
    <row r="2070" spans="1:12" x14ac:dyDescent="0.25">
      <c r="I2070" t="s">
        <v>21</v>
      </c>
      <c r="J2070" s="6">
        <v>20000</v>
      </c>
    </row>
    <row r="2072" spans="1:12" x14ac:dyDescent="0.25">
      <c r="I2072" t="s">
        <v>22</v>
      </c>
      <c r="J2072" s="6">
        <f>SUM(J2068:J2071)</f>
        <v>218000</v>
      </c>
    </row>
    <row r="2074" spans="1:12" x14ac:dyDescent="0.25">
      <c r="A2074" s="1" t="s">
        <v>0</v>
      </c>
      <c r="B2074" s="1" t="s">
        <v>1</v>
      </c>
      <c r="C2074" s="1" t="s">
        <v>2</v>
      </c>
      <c r="D2074" s="1" t="s">
        <v>3</v>
      </c>
      <c r="E2074" s="1" t="s">
        <v>4</v>
      </c>
      <c r="F2074" s="2" t="s">
        <v>5</v>
      </c>
      <c r="G2074" s="3" t="s">
        <v>6</v>
      </c>
      <c r="H2074" s="3" t="s">
        <v>7</v>
      </c>
      <c r="I2074" s="4" t="s">
        <v>8</v>
      </c>
      <c r="J2074" s="2" t="s">
        <v>9</v>
      </c>
      <c r="K2074" s="3" t="s">
        <v>10</v>
      </c>
      <c r="L2074" s="2" t="s">
        <v>9</v>
      </c>
    </row>
    <row r="2075" spans="1:12" x14ac:dyDescent="0.25">
      <c r="A2075" s="5">
        <v>45992</v>
      </c>
      <c r="B2075" t="s">
        <v>31</v>
      </c>
      <c r="C2075" t="s">
        <v>164</v>
      </c>
      <c r="D2075" t="s">
        <v>12</v>
      </c>
      <c r="F2075" s="6">
        <v>93302</v>
      </c>
      <c r="G2075" t="s">
        <v>165</v>
      </c>
      <c r="I2075" t="s">
        <v>34</v>
      </c>
      <c r="J2075" s="6">
        <v>220000</v>
      </c>
    </row>
    <row r="2076" spans="1:12" x14ac:dyDescent="0.25">
      <c r="I2076" t="s">
        <v>19</v>
      </c>
      <c r="J2076" s="6">
        <v>46000</v>
      </c>
    </row>
    <row r="2077" spans="1:12" x14ac:dyDescent="0.25">
      <c r="I2077" t="s">
        <v>37</v>
      </c>
      <c r="J2077" s="6">
        <v>40000</v>
      </c>
    </row>
    <row r="2078" spans="1:12" x14ac:dyDescent="0.25">
      <c r="I2078" t="s">
        <v>36</v>
      </c>
      <c r="J2078" s="6">
        <v>180000</v>
      </c>
    </row>
    <row r="2079" spans="1:12" x14ac:dyDescent="0.25">
      <c r="I2079" t="s">
        <v>100</v>
      </c>
      <c r="J2079" s="6">
        <v>15000</v>
      </c>
    </row>
    <row r="2080" spans="1:12" x14ac:dyDescent="0.25">
      <c r="I2080" t="s">
        <v>61</v>
      </c>
      <c r="J2080" s="6">
        <v>40000</v>
      </c>
    </row>
    <row r="2082" spans="1:12" x14ac:dyDescent="0.25">
      <c r="I2082" t="s">
        <v>22</v>
      </c>
      <c r="J2082" s="6">
        <f>SUM(J2075:J2081)</f>
        <v>541000</v>
      </c>
    </row>
    <row r="2084" spans="1:12" x14ac:dyDescent="0.25">
      <c r="A2084" s="1" t="s">
        <v>0</v>
      </c>
      <c r="B2084" s="1" t="s">
        <v>1</v>
      </c>
      <c r="C2084" s="1" t="s">
        <v>2</v>
      </c>
      <c r="D2084" s="1" t="s">
        <v>3</v>
      </c>
      <c r="E2084" s="1" t="s">
        <v>4</v>
      </c>
      <c r="F2084" s="2" t="s">
        <v>5</v>
      </c>
      <c r="G2084" s="3" t="s">
        <v>6</v>
      </c>
      <c r="H2084" s="3" t="s">
        <v>7</v>
      </c>
      <c r="I2084" s="4" t="s">
        <v>8</v>
      </c>
      <c r="J2084" s="2" t="s">
        <v>9</v>
      </c>
      <c r="K2084" s="3" t="s">
        <v>10</v>
      </c>
      <c r="L2084" s="2" t="s">
        <v>9</v>
      </c>
    </row>
    <row r="2085" spans="1:12" x14ac:dyDescent="0.25">
      <c r="A2085" s="5">
        <v>45992</v>
      </c>
      <c r="B2085" t="s">
        <v>477</v>
      </c>
      <c r="C2085" t="s">
        <v>1204</v>
      </c>
      <c r="F2085" s="6">
        <v>156951</v>
      </c>
      <c r="G2085" t="s">
        <v>1205</v>
      </c>
      <c r="H2085">
        <v>3103240203</v>
      </c>
      <c r="I2085" t="s">
        <v>36</v>
      </c>
    </row>
    <row r="2086" spans="1:12" x14ac:dyDescent="0.25">
      <c r="I2086" t="s">
        <v>34</v>
      </c>
    </row>
    <row r="2087" spans="1:12" x14ac:dyDescent="0.25">
      <c r="I2087" t="s">
        <v>1206</v>
      </c>
    </row>
    <row r="2088" spans="1:12" x14ac:dyDescent="0.25">
      <c r="I2088" t="s">
        <v>1207</v>
      </c>
    </row>
    <row r="2090" spans="1:12" x14ac:dyDescent="0.25">
      <c r="I2090" t="s">
        <v>22</v>
      </c>
    </row>
    <row r="2092" spans="1:12" x14ac:dyDescent="0.25">
      <c r="A2092" s="1" t="s">
        <v>0</v>
      </c>
      <c r="B2092" s="1" t="s">
        <v>1</v>
      </c>
      <c r="C2092" s="1" t="s">
        <v>2</v>
      </c>
      <c r="D2092" s="1" t="s">
        <v>3</v>
      </c>
      <c r="E2092" s="1" t="s">
        <v>4</v>
      </c>
      <c r="F2092" s="2" t="s">
        <v>5</v>
      </c>
      <c r="G2092" s="3" t="s">
        <v>6</v>
      </c>
      <c r="H2092" s="3" t="s">
        <v>7</v>
      </c>
      <c r="I2092" s="4" t="s">
        <v>8</v>
      </c>
      <c r="J2092" s="2" t="s">
        <v>9</v>
      </c>
      <c r="K2092" s="3" t="s">
        <v>10</v>
      </c>
      <c r="L2092" s="2" t="s">
        <v>9</v>
      </c>
    </row>
    <row r="2093" spans="1:12" x14ac:dyDescent="0.25">
      <c r="A2093" s="5">
        <v>45993</v>
      </c>
      <c r="B2093" t="s">
        <v>31</v>
      </c>
      <c r="C2093" t="s">
        <v>944</v>
      </c>
      <c r="D2093" t="s">
        <v>12</v>
      </c>
      <c r="E2093">
        <v>2017</v>
      </c>
      <c r="F2093" s="6">
        <v>82776</v>
      </c>
      <c r="G2093" t="s">
        <v>945</v>
      </c>
      <c r="H2093">
        <v>3192304737</v>
      </c>
      <c r="I2093" t="s">
        <v>946</v>
      </c>
      <c r="J2093" s="6">
        <v>80000</v>
      </c>
    </row>
    <row r="2094" spans="1:12" x14ac:dyDescent="0.25">
      <c r="I2094" t="s">
        <v>36</v>
      </c>
      <c r="J2094" s="6">
        <v>190000</v>
      </c>
    </row>
    <row r="2095" spans="1:12" x14ac:dyDescent="0.25">
      <c r="I2095" t="s">
        <v>224</v>
      </c>
      <c r="J2095" s="6">
        <v>240000</v>
      </c>
    </row>
    <row r="2097" spans="1:12" x14ac:dyDescent="0.25">
      <c r="I2097" t="s">
        <v>22</v>
      </c>
      <c r="J2097" s="6">
        <f>SUM(J2093:J2096)</f>
        <v>510000</v>
      </c>
    </row>
    <row r="2099" spans="1:12" x14ac:dyDescent="0.25">
      <c r="A2099" s="1" t="s">
        <v>0</v>
      </c>
      <c r="B2099" s="1" t="s">
        <v>1</v>
      </c>
      <c r="C2099" s="1" t="s">
        <v>2</v>
      </c>
      <c r="D2099" s="1" t="s">
        <v>3</v>
      </c>
      <c r="E2099" s="1" t="s">
        <v>4</v>
      </c>
      <c r="F2099" s="2" t="s">
        <v>5</v>
      </c>
      <c r="G2099" s="3" t="s">
        <v>6</v>
      </c>
      <c r="H2099" s="3" t="s">
        <v>7</v>
      </c>
      <c r="I2099" s="4" t="s">
        <v>8</v>
      </c>
      <c r="J2099" s="2" t="s">
        <v>9</v>
      </c>
      <c r="K2099" s="3" t="s">
        <v>10</v>
      </c>
      <c r="L2099" s="2" t="s">
        <v>9</v>
      </c>
    </row>
    <row r="2100" spans="1:12" x14ac:dyDescent="0.25">
      <c r="A2100" s="5">
        <v>45993</v>
      </c>
      <c r="B2100" t="s">
        <v>110</v>
      </c>
      <c r="C2100" t="s">
        <v>947</v>
      </c>
      <c r="E2100">
        <v>2007</v>
      </c>
      <c r="F2100" s="6">
        <v>82332</v>
      </c>
      <c r="G2100" t="s">
        <v>970</v>
      </c>
      <c r="H2100">
        <v>3015708846</v>
      </c>
      <c r="I2100" t="s">
        <v>41</v>
      </c>
      <c r="J2100" s="6">
        <v>225000</v>
      </c>
    </row>
    <row r="2101" spans="1:12" x14ac:dyDescent="0.25">
      <c r="I2101" t="s">
        <v>503</v>
      </c>
      <c r="J2101" s="6">
        <v>180000</v>
      </c>
    </row>
    <row r="2103" spans="1:12" x14ac:dyDescent="0.25">
      <c r="I2103" t="s">
        <v>22</v>
      </c>
      <c r="J2103" s="6">
        <f>SUM(J2100:J2102)</f>
        <v>405000</v>
      </c>
    </row>
    <row r="2105" spans="1:12" x14ac:dyDescent="0.25">
      <c r="A2105" s="1" t="s">
        <v>0</v>
      </c>
      <c r="B2105" s="1" t="s">
        <v>1</v>
      </c>
      <c r="C2105" s="1" t="s">
        <v>2</v>
      </c>
      <c r="D2105" s="1" t="s">
        <v>3</v>
      </c>
      <c r="E2105" s="1" t="s">
        <v>4</v>
      </c>
      <c r="F2105" s="2" t="s">
        <v>5</v>
      </c>
      <c r="G2105" s="3" t="s">
        <v>6</v>
      </c>
      <c r="H2105" s="3" t="s">
        <v>7</v>
      </c>
      <c r="I2105" s="4" t="s">
        <v>8</v>
      </c>
      <c r="J2105" s="2" t="s">
        <v>9</v>
      </c>
      <c r="K2105" s="3" t="s">
        <v>10</v>
      </c>
      <c r="L2105" s="2" t="s">
        <v>9</v>
      </c>
    </row>
    <row r="2106" spans="1:12" x14ac:dyDescent="0.25">
      <c r="A2106" s="5">
        <v>45993</v>
      </c>
      <c r="B2106" t="s">
        <v>948</v>
      </c>
      <c r="C2106" t="s">
        <v>949</v>
      </c>
      <c r="D2106" t="s">
        <v>25</v>
      </c>
      <c r="E2106">
        <v>2021</v>
      </c>
      <c r="F2106" s="6">
        <v>31680</v>
      </c>
      <c r="G2106" t="s">
        <v>971</v>
      </c>
      <c r="H2106">
        <v>3016476672</v>
      </c>
      <c r="I2106" t="s">
        <v>70</v>
      </c>
    </row>
    <row r="2108" spans="1:12" x14ac:dyDescent="0.25">
      <c r="I2108" t="s">
        <v>22</v>
      </c>
      <c r="J2108" s="6">
        <v>280000</v>
      </c>
    </row>
    <row r="2110" spans="1:12" x14ac:dyDescent="0.25">
      <c r="A2110" s="1" t="s">
        <v>0</v>
      </c>
      <c r="B2110" s="1" t="s">
        <v>1</v>
      </c>
      <c r="C2110" s="1" t="s">
        <v>2</v>
      </c>
      <c r="D2110" s="1" t="s">
        <v>3</v>
      </c>
      <c r="E2110" s="1" t="s">
        <v>4</v>
      </c>
      <c r="F2110" s="2" t="s">
        <v>5</v>
      </c>
      <c r="G2110" s="3" t="s">
        <v>6</v>
      </c>
      <c r="H2110" s="3" t="s">
        <v>7</v>
      </c>
      <c r="I2110" s="4" t="s">
        <v>8</v>
      </c>
      <c r="J2110" s="2" t="s">
        <v>9</v>
      </c>
      <c r="K2110" s="3" t="s">
        <v>10</v>
      </c>
      <c r="L2110" s="2" t="s">
        <v>9</v>
      </c>
    </row>
    <row r="2111" spans="1:12" x14ac:dyDescent="0.25">
      <c r="A2111" s="5">
        <v>45994</v>
      </c>
      <c r="B2111" t="s">
        <v>31</v>
      </c>
      <c r="C2111" t="s">
        <v>950</v>
      </c>
      <c r="D2111" t="s">
        <v>12</v>
      </c>
      <c r="F2111" s="6">
        <v>42271</v>
      </c>
      <c r="G2111" t="s">
        <v>951</v>
      </c>
      <c r="I2111" t="s">
        <v>34</v>
      </c>
      <c r="J2111" s="6">
        <v>208000</v>
      </c>
    </row>
    <row r="2112" spans="1:12" x14ac:dyDescent="0.25">
      <c r="I2112" t="s">
        <v>61</v>
      </c>
      <c r="J2112" s="6">
        <v>47600</v>
      </c>
    </row>
    <row r="2113" spans="1:12" x14ac:dyDescent="0.25">
      <c r="I2113" t="s">
        <v>19</v>
      </c>
      <c r="J2113" s="6">
        <v>54740</v>
      </c>
    </row>
    <row r="2114" spans="1:12" x14ac:dyDescent="0.25">
      <c r="I2114" t="s">
        <v>37</v>
      </c>
      <c r="J2114" s="6">
        <v>40000</v>
      </c>
    </row>
    <row r="2116" spans="1:12" x14ac:dyDescent="0.25">
      <c r="I2116" t="s">
        <v>22</v>
      </c>
      <c r="J2116" s="6">
        <f>SUM(J2111:J2115)</f>
        <v>350340</v>
      </c>
    </row>
    <row r="2118" spans="1:12" x14ac:dyDescent="0.25">
      <c r="A2118" s="1" t="s">
        <v>0</v>
      </c>
      <c r="B2118" s="1" t="s">
        <v>1</v>
      </c>
      <c r="C2118" s="1" t="s">
        <v>2</v>
      </c>
      <c r="D2118" s="1" t="s">
        <v>3</v>
      </c>
      <c r="E2118" s="1" t="s">
        <v>4</v>
      </c>
      <c r="F2118" s="2" t="s">
        <v>5</v>
      </c>
      <c r="G2118" s="3" t="s">
        <v>6</v>
      </c>
      <c r="H2118" s="3" t="s">
        <v>7</v>
      </c>
      <c r="I2118" s="4" t="s">
        <v>8</v>
      </c>
      <c r="J2118" s="2" t="s">
        <v>9</v>
      </c>
      <c r="K2118" s="3" t="s">
        <v>10</v>
      </c>
      <c r="L2118" s="2" t="s">
        <v>9</v>
      </c>
    </row>
    <row r="2119" spans="1:12" x14ac:dyDescent="0.25">
      <c r="A2119" s="5">
        <v>45995</v>
      </c>
      <c r="B2119" t="s">
        <v>31</v>
      </c>
      <c r="C2119" t="s">
        <v>952</v>
      </c>
      <c r="D2119" t="s">
        <v>25</v>
      </c>
      <c r="E2119">
        <v>2022</v>
      </c>
      <c r="F2119" s="6">
        <v>15940</v>
      </c>
      <c r="G2119" t="s">
        <v>969</v>
      </c>
      <c r="H2119">
        <v>3165001289</v>
      </c>
      <c r="I2119" t="s">
        <v>847</v>
      </c>
    </row>
    <row r="2121" spans="1:12" x14ac:dyDescent="0.25">
      <c r="I2121" t="s">
        <v>22</v>
      </c>
      <c r="J2121" s="6">
        <v>350000</v>
      </c>
    </row>
    <row r="2123" spans="1:12" x14ac:dyDescent="0.25">
      <c r="A2123" s="1" t="s">
        <v>0</v>
      </c>
      <c r="B2123" s="1" t="s">
        <v>1</v>
      </c>
      <c r="C2123" s="1" t="s">
        <v>2</v>
      </c>
      <c r="D2123" s="1" t="s">
        <v>3</v>
      </c>
      <c r="E2123" s="1" t="s">
        <v>4</v>
      </c>
      <c r="F2123" s="2" t="s">
        <v>5</v>
      </c>
      <c r="G2123" s="3" t="s">
        <v>6</v>
      </c>
      <c r="H2123" s="3" t="s">
        <v>7</v>
      </c>
      <c r="I2123" s="4" t="s">
        <v>8</v>
      </c>
      <c r="J2123" s="2" t="s">
        <v>9</v>
      </c>
      <c r="K2123" s="3" t="s">
        <v>10</v>
      </c>
      <c r="L2123" s="2" t="s">
        <v>9</v>
      </c>
    </row>
    <row r="2124" spans="1:12" x14ac:dyDescent="0.25">
      <c r="A2124" s="5">
        <v>45995</v>
      </c>
      <c r="B2124" t="s">
        <v>31</v>
      </c>
      <c r="C2124" t="s">
        <v>1181</v>
      </c>
      <c r="E2124">
        <v>2014</v>
      </c>
      <c r="F2124" s="6">
        <v>79756</v>
      </c>
      <c r="G2124" t="s">
        <v>1182</v>
      </c>
      <c r="H2124">
        <v>3025904897</v>
      </c>
      <c r="I2124" t="s">
        <v>34</v>
      </c>
    </row>
    <row r="2125" spans="1:12" x14ac:dyDescent="0.25">
      <c r="I2125" t="s">
        <v>1183</v>
      </c>
    </row>
    <row r="2126" spans="1:12" x14ac:dyDescent="0.25">
      <c r="I2126" t="s">
        <v>1184</v>
      </c>
    </row>
    <row r="2127" spans="1:12" x14ac:dyDescent="0.25">
      <c r="I2127" t="s">
        <v>1185</v>
      </c>
    </row>
    <row r="2129" spans="1:12" x14ac:dyDescent="0.25">
      <c r="I2129" t="s">
        <v>22</v>
      </c>
    </row>
    <row r="2131" spans="1:12" x14ac:dyDescent="0.25">
      <c r="A2131" s="1" t="s">
        <v>0</v>
      </c>
      <c r="B2131" s="1" t="s">
        <v>1</v>
      </c>
      <c r="C2131" s="1" t="s">
        <v>2</v>
      </c>
      <c r="D2131" s="1" t="s">
        <v>3</v>
      </c>
      <c r="E2131" s="1" t="s">
        <v>4</v>
      </c>
      <c r="F2131" s="2" t="s">
        <v>5</v>
      </c>
      <c r="G2131" s="3" t="s">
        <v>6</v>
      </c>
      <c r="H2131" s="3" t="s">
        <v>7</v>
      </c>
      <c r="I2131" s="4" t="s">
        <v>8</v>
      </c>
      <c r="J2131" s="2" t="s">
        <v>9</v>
      </c>
      <c r="K2131" s="3" t="s">
        <v>10</v>
      </c>
      <c r="L2131" s="2" t="s">
        <v>9</v>
      </c>
    </row>
    <row r="2132" spans="1:12" x14ac:dyDescent="0.25">
      <c r="A2132" s="5">
        <v>45995</v>
      </c>
      <c r="B2132" t="s">
        <v>31</v>
      </c>
      <c r="C2132" t="s">
        <v>124</v>
      </c>
      <c r="D2132" t="s">
        <v>25</v>
      </c>
      <c r="E2132">
        <v>2015</v>
      </c>
      <c r="G2132" t="s">
        <v>1186</v>
      </c>
      <c r="I2132" t="s">
        <v>76</v>
      </c>
    </row>
    <row r="2133" spans="1:12" x14ac:dyDescent="0.25">
      <c r="I2133" t="s">
        <v>1187</v>
      </c>
    </row>
    <row r="2135" spans="1:12" x14ac:dyDescent="0.25">
      <c r="I2135" t="s">
        <v>22</v>
      </c>
    </row>
    <row r="2137" spans="1:12" x14ac:dyDescent="0.25">
      <c r="A2137" s="1" t="s">
        <v>0</v>
      </c>
      <c r="B2137" s="1" t="s">
        <v>1</v>
      </c>
      <c r="C2137" s="1" t="s">
        <v>2</v>
      </c>
      <c r="D2137" s="1" t="s">
        <v>3</v>
      </c>
      <c r="E2137" s="1" t="s">
        <v>4</v>
      </c>
      <c r="F2137" s="2" t="s">
        <v>5</v>
      </c>
      <c r="G2137" s="3" t="s">
        <v>6</v>
      </c>
      <c r="H2137" s="3" t="s">
        <v>7</v>
      </c>
      <c r="I2137" s="4" t="s">
        <v>8</v>
      </c>
      <c r="J2137" s="2" t="s">
        <v>9</v>
      </c>
      <c r="K2137" s="3" t="s">
        <v>10</v>
      </c>
      <c r="L2137" s="2" t="s">
        <v>9</v>
      </c>
    </row>
    <row r="2138" spans="1:12" x14ac:dyDescent="0.25">
      <c r="A2138" s="5">
        <v>45996</v>
      </c>
      <c r="B2138" t="s">
        <v>43</v>
      </c>
      <c r="C2138" t="s">
        <v>1188</v>
      </c>
      <c r="D2138" t="s">
        <v>138</v>
      </c>
      <c r="G2138" t="s">
        <v>1189</v>
      </c>
      <c r="I2138" t="s">
        <v>535</v>
      </c>
    </row>
    <row r="2139" spans="1:12" x14ac:dyDescent="0.25">
      <c r="I2139" t="s">
        <v>1190</v>
      </c>
    </row>
    <row r="2140" spans="1:12" x14ac:dyDescent="0.25">
      <c r="I2140" t="s">
        <v>47</v>
      </c>
    </row>
    <row r="2141" spans="1:12" x14ac:dyDescent="0.25">
      <c r="I2141" t="s">
        <v>1191</v>
      </c>
    </row>
    <row r="2143" spans="1:12" x14ac:dyDescent="0.25">
      <c r="I2143" t="s">
        <v>22</v>
      </c>
    </row>
    <row r="2145" spans="1:12" x14ac:dyDescent="0.25">
      <c r="A2145" s="1" t="s">
        <v>0</v>
      </c>
      <c r="B2145" s="1" t="s">
        <v>1</v>
      </c>
      <c r="C2145" s="1" t="s">
        <v>2</v>
      </c>
      <c r="D2145" s="1" t="s">
        <v>3</v>
      </c>
      <c r="E2145" s="1" t="s">
        <v>4</v>
      </c>
      <c r="F2145" s="2" t="s">
        <v>5</v>
      </c>
      <c r="G2145" s="3" t="s">
        <v>6</v>
      </c>
      <c r="H2145" s="3" t="s">
        <v>7</v>
      </c>
      <c r="I2145" s="4" t="s">
        <v>8</v>
      </c>
      <c r="J2145" s="2" t="s">
        <v>9</v>
      </c>
      <c r="K2145" s="3" t="s">
        <v>10</v>
      </c>
      <c r="L2145" s="2" t="s">
        <v>9</v>
      </c>
    </row>
    <row r="2146" spans="1:12" x14ac:dyDescent="0.25">
      <c r="A2146" s="5">
        <v>45996</v>
      </c>
      <c r="B2146" t="s">
        <v>31</v>
      </c>
      <c r="C2146" t="s">
        <v>972</v>
      </c>
      <c r="E2146">
        <v>2014</v>
      </c>
      <c r="F2146" s="6">
        <v>97509</v>
      </c>
      <c r="G2146" t="s">
        <v>953</v>
      </c>
      <c r="I2146" t="s">
        <v>954</v>
      </c>
      <c r="J2146" s="6">
        <v>1370000</v>
      </c>
    </row>
    <row r="2147" spans="1:12" x14ac:dyDescent="0.25">
      <c r="I2147" t="s">
        <v>955</v>
      </c>
      <c r="J2147" s="6">
        <v>950000</v>
      </c>
    </row>
    <row r="2148" spans="1:12" x14ac:dyDescent="0.25">
      <c r="I2148" t="s">
        <v>61</v>
      </c>
      <c r="J2148" s="6">
        <v>180000</v>
      </c>
    </row>
    <row r="2149" spans="1:12" x14ac:dyDescent="0.25">
      <c r="I2149" t="s">
        <v>35</v>
      </c>
      <c r="J2149" s="6">
        <v>150000</v>
      </c>
    </row>
    <row r="2150" spans="1:12" x14ac:dyDescent="0.25">
      <c r="I2150" t="s">
        <v>50</v>
      </c>
    </row>
    <row r="2152" spans="1:12" x14ac:dyDescent="0.25">
      <c r="I2152" t="s">
        <v>22</v>
      </c>
      <c r="J2152" s="6">
        <f>SUM(J2146:J2151)</f>
        <v>2650000</v>
      </c>
    </row>
    <row r="2154" spans="1:12" x14ac:dyDescent="0.25">
      <c r="A2154" s="1" t="s">
        <v>0</v>
      </c>
      <c r="B2154" s="1" t="s">
        <v>1</v>
      </c>
      <c r="C2154" s="1" t="s">
        <v>2</v>
      </c>
      <c r="D2154" s="1" t="s">
        <v>3</v>
      </c>
      <c r="E2154" s="1" t="s">
        <v>4</v>
      </c>
      <c r="F2154" s="2" t="s">
        <v>5</v>
      </c>
      <c r="G2154" s="3" t="s">
        <v>6</v>
      </c>
      <c r="H2154" s="3" t="s">
        <v>7</v>
      </c>
      <c r="I2154" s="4" t="s">
        <v>8</v>
      </c>
      <c r="J2154" s="2" t="s">
        <v>9</v>
      </c>
      <c r="K2154" s="3" t="s">
        <v>10</v>
      </c>
      <c r="L2154" s="2" t="s">
        <v>9</v>
      </c>
    </row>
    <row r="2155" spans="1:12" x14ac:dyDescent="0.25">
      <c r="A2155" s="5">
        <v>45997</v>
      </c>
      <c r="B2155" t="s">
        <v>91</v>
      </c>
      <c r="C2155" t="s">
        <v>92</v>
      </c>
      <c r="F2155" s="6">
        <v>161460</v>
      </c>
      <c r="I2155" t="s">
        <v>34</v>
      </c>
      <c r="J2155" s="6">
        <v>150000</v>
      </c>
    </row>
    <row r="2156" spans="1:12" x14ac:dyDescent="0.25">
      <c r="I2156" t="s">
        <v>61</v>
      </c>
      <c r="J2156" s="6">
        <v>40000</v>
      </c>
    </row>
    <row r="2158" spans="1:12" x14ac:dyDescent="0.25">
      <c r="I2158" t="s">
        <v>22</v>
      </c>
      <c r="J2158" s="6">
        <f>SUM(J2155:J2157)</f>
        <v>190000</v>
      </c>
    </row>
    <row r="2160" spans="1:12" x14ac:dyDescent="0.25">
      <c r="A2160" s="1" t="s">
        <v>0</v>
      </c>
      <c r="B2160" s="1" t="s">
        <v>1</v>
      </c>
      <c r="C2160" s="1" t="s">
        <v>2</v>
      </c>
      <c r="D2160" s="1" t="s">
        <v>3</v>
      </c>
      <c r="E2160" s="1" t="s">
        <v>4</v>
      </c>
      <c r="F2160" s="2" t="s">
        <v>5</v>
      </c>
      <c r="G2160" s="3" t="s">
        <v>6</v>
      </c>
      <c r="H2160" s="3" t="s">
        <v>7</v>
      </c>
      <c r="I2160" s="4" t="s">
        <v>8</v>
      </c>
      <c r="J2160" s="2" t="s">
        <v>9</v>
      </c>
      <c r="K2160" s="3" t="s">
        <v>10</v>
      </c>
      <c r="L2160" s="2" t="s">
        <v>9</v>
      </c>
    </row>
    <row r="2161" spans="1:12" x14ac:dyDescent="0.25">
      <c r="A2161" s="5">
        <v>45997</v>
      </c>
      <c r="B2161" t="s">
        <v>684</v>
      </c>
      <c r="C2161" t="s">
        <v>956</v>
      </c>
      <c r="F2161" s="6">
        <v>9414</v>
      </c>
      <c r="I2161" t="s">
        <v>702</v>
      </c>
    </row>
    <row r="2163" spans="1:12" x14ac:dyDescent="0.25">
      <c r="I2163" t="s">
        <v>22</v>
      </c>
      <c r="J2163" s="6">
        <v>1100000</v>
      </c>
    </row>
    <row r="2165" spans="1:12" x14ac:dyDescent="0.25">
      <c r="A2165" s="1" t="s">
        <v>0</v>
      </c>
      <c r="B2165" s="1" t="s">
        <v>1</v>
      </c>
      <c r="C2165" s="1" t="s">
        <v>2</v>
      </c>
      <c r="D2165" s="1" t="s">
        <v>3</v>
      </c>
      <c r="E2165" s="1" t="s">
        <v>4</v>
      </c>
      <c r="F2165" s="2" t="s">
        <v>5</v>
      </c>
      <c r="G2165" s="3" t="s">
        <v>6</v>
      </c>
      <c r="H2165" s="3" t="s">
        <v>7</v>
      </c>
      <c r="I2165" s="4" t="s">
        <v>8</v>
      </c>
      <c r="J2165" s="2" t="s">
        <v>9</v>
      </c>
      <c r="K2165" s="3" t="s">
        <v>10</v>
      </c>
      <c r="L2165" s="2" t="s">
        <v>9</v>
      </c>
    </row>
    <row r="2166" spans="1:12" x14ac:dyDescent="0.25">
      <c r="A2166" s="5">
        <v>46000</v>
      </c>
      <c r="B2166" t="s">
        <v>110</v>
      </c>
      <c r="C2166" t="s">
        <v>957</v>
      </c>
      <c r="D2166" t="s">
        <v>25</v>
      </c>
      <c r="G2166" t="s">
        <v>1148</v>
      </c>
      <c r="H2166">
        <v>3204940704</v>
      </c>
      <c r="I2166" t="s">
        <v>958</v>
      </c>
      <c r="J2166" s="6">
        <v>350000</v>
      </c>
    </row>
    <row r="2167" spans="1:12" x14ac:dyDescent="0.25">
      <c r="I2167" t="s">
        <v>959</v>
      </c>
      <c r="J2167" s="6">
        <v>20000</v>
      </c>
    </row>
    <row r="2168" spans="1:12" x14ac:dyDescent="0.25">
      <c r="I2168" t="s">
        <v>960</v>
      </c>
      <c r="J2168" s="6">
        <v>700000</v>
      </c>
    </row>
    <row r="2169" spans="1:12" x14ac:dyDescent="0.25">
      <c r="I2169" t="s">
        <v>609</v>
      </c>
      <c r="J2169" s="6">
        <v>301000</v>
      </c>
    </row>
    <row r="2170" spans="1:12" x14ac:dyDescent="0.25">
      <c r="I2170" t="s">
        <v>429</v>
      </c>
      <c r="J2170" s="6">
        <v>118000</v>
      </c>
    </row>
    <row r="2171" spans="1:12" x14ac:dyDescent="0.25">
      <c r="I2171" t="s">
        <v>400</v>
      </c>
      <c r="J2171" s="6">
        <v>545000</v>
      </c>
    </row>
    <row r="2172" spans="1:12" x14ac:dyDescent="0.25">
      <c r="I2172" t="s">
        <v>426</v>
      </c>
      <c r="J2172" s="6">
        <v>280000</v>
      </c>
    </row>
    <row r="2173" spans="1:12" x14ac:dyDescent="0.25">
      <c r="I2173" t="s">
        <v>529</v>
      </c>
      <c r="J2173" s="6">
        <v>165000</v>
      </c>
    </row>
    <row r="2174" spans="1:12" x14ac:dyDescent="0.25">
      <c r="I2174" t="s">
        <v>19</v>
      </c>
      <c r="J2174" s="6">
        <v>46000</v>
      </c>
    </row>
    <row r="2175" spans="1:12" x14ac:dyDescent="0.25">
      <c r="I2175" t="s">
        <v>198</v>
      </c>
      <c r="J2175" s="6">
        <v>160000</v>
      </c>
    </row>
    <row r="2176" spans="1:12" x14ac:dyDescent="0.25">
      <c r="I2176" t="s">
        <v>743</v>
      </c>
      <c r="J2176" s="6">
        <v>120000</v>
      </c>
    </row>
    <row r="2177" spans="1:12" x14ac:dyDescent="0.25">
      <c r="I2177" t="s">
        <v>146</v>
      </c>
      <c r="J2177" s="6">
        <v>40000</v>
      </c>
    </row>
    <row r="2178" spans="1:12" x14ac:dyDescent="0.25">
      <c r="I2178" t="s">
        <v>21</v>
      </c>
      <c r="J2178" s="6">
        <v>22000</v>
      </c>
    </row>
    <row r="2180" spans="1:12" x14ac:dyDescent="0.25">
      <c r="I2180" t="s">
        <v>22</v>
      </c>
      <c r="J2180" s="6">
        <f>SUM(J2166:J2179)</f>
        <v>2867000</v>
      </c>
    </row>
    <row r="2182" spans="1:12" x14ac:dyDescent="0.25">
      <c r="A2182" s="1" t="s">
        <v>0</v>
      </c>
      <c r="B2182" s="1" t="s">
        <v>1</v>
      </c>
      <c r="C2182" s="1" t="s">
        <v>2</v>
      </c>
      <c r="D2182" s="1" t="s">
        <v>3</v>
      </c>
      <c r="E2182" s="1" t="s">
        <v>4</v>
      </c>
      <c r="F2182" s="2" t="s">
        <v>5</v>
      </c>
      <c r="G2182" s="3" t="s">
        <v>6</v>
      </c>
      <c r="H2182" s="3" t="s">
        <v>7</v>
      </c>
      <c r="I2182" s="4" t="s">
        <v>8</v>
      </c>
      <c r="J2182" s="2" t="s">
        <v>9</v>
      </c>
      <c r="K2182" s="3" t="s">
        <v>10</v>
      </c>
      <c r="L2182" s="2" t="s">
        <v>9</v>
      </c>
    </row>
    <row r="2183" spans="1:12" x14ac:dyDescent="0.25">
      <c r="A2183" s="5">
        <v>46000</v>
      </c>
      <c r="B2183" t="s">
        <v>31</v>
      </c>
      <c r="C2183" t="s">
        <v>367</v>
      </c>
      <c r="D2183" t="s">
        <v>45</v>
      </c>
      <c r="F2183" s="6">
        <v>85958</v>
      </c>
      <c r="G2183" t="s">
        <v>368</v>
      </c>
      <c r="I2183" t="s">
        <v>876</v>
      </c>
      <c r="J2183" s="6">
        <v>450000</v>
      </c>
    </row>
    <row r="2184" spans="1:12" x14ac:dyDescent="0.25">
      <c r="I2184" t="s">
        <v>961</v>
      </c>
      <c r="J2184" s="6">
        <v>25000</v>
      </c>
    </row>
    <row r="2185" spans="1:12" x14ac:dyDescent="0.25">
      <c r="I2185" t="s">
        <v>962</v>
      </c>
      <c r="J2185" s="6">
        <v>60000</v>
      </c>
    </row>
    <row r="2186" spans="1:12" x14ac:dyDescent="0.25">
      <c r="I2186" t="s">
        <v>963</v>
      </c>
      <c r="J2186" s="6">
        <v>35000</v>
      </c>
    </row>
    <row r="2187" spans="1:12" x14ac:dyDescent="0.25">
      <c r="I2187" t="s">
        <v>964</v>
      </c>
      <c r="J2187" s="6">
        <v>60000</v>
      </c>
    </row>
    <row r="2189" spans="1:12" x14ac:dyDescent="0.25">
      <c r="I2189" t="s">
        <v>619</v>
      </c>
      <c r="J2189" s="6">
        <f>SUM(J2183:J2188)</f>
        <v>630000</v>
      </c>
    </row>
    <row r="2191" spans="1:12" x14ac:dyDescent="0.25">
      <c r="A2191" s="1" t="s">
        <v>0</v>
      </c>
      <c r="B2191" s="1" t="s">
        <v>1</v>
      </c>
      <c r="C2191" s="1" t="s">
        <v>2</v>
      </c>
      <c r="D2191" s="1" t="s">
        <v>3</v>
      </c>
      <c r="E2191" s="1" t="s">
        <v>4</v>
      </c>
      <c r="F2191" s="2" t="s">
        <v>5</v>
      </c>
      <c r="G2191" s="3" t="s">
        <v>6</v>
      </c>
      <c r="H2191" s="3" t="s">
        <v>7</v>
      </c>
      <c r="I2191" s="4" t="s">
        <v>8</v>
      </c>
      <c r="J2191" s="2" t="s">
        <v>9</v>
      </c>
      <c r="K2191" s="3" t="s">
        <v>10</v>
      </c>
      <c r="L2191" s="2" t="s">
        <v>9</v>
      </c>
    </row>
    <row r="2192" spans="1:12" x14ac:dyDescent="0.25">
      <c r="A2192" s="5">
        <v>46000</v>
      </c>
      <c r="B2192" t="s">
        <v>965</v>
      </c>
      <c r="C2192" t="s">
        <v>966</v>
      </c>
      <c r="D2192" t="s">
        <v>138</v>
      </c>
      <c r="F2192" s="6">
        <v>143288</v>
      </c>
      <c r="I2192" t="s">
        <v>70</v>
      </c>
      <c r="J2192" s="6">
        <v>390000</v>
      </c>
    </row>
    <row r="2193" spans="1:12" x14ac:dyDescent="0.25">
      <c r="I2193" t="s">
        <v>107</v>
      </c>
      <c r="J2193" s="6">
        <v>125000</v>
      </c>
    </row>
    <row r="2194" spans="1:12" x14ac:dyDescent="0.25">
      <c r="I2194" t="s">
        <v>100</v>
      </c>
      <c r="J2194" s="6">
        <v>15000</v>
      </c>
    </row>
    <row r="2195" spans="1:12" x14ac:dyDescent="0.25">
      <c r="I2195" t="s">
        <v>16</v>
      </c>
    </row>
    <row r="2196" spans="1:12" x14ac:dyDescent="0.25">
      <c r="I2196" t="s">
        <v>967</v>
      </c>
      <c r="J2196" s="6">
        <v>30000</v>
      </c>
    </row>
    <row r="2197" spans="1:12" x14ac:dyDescent="0.25">
      <c r="I2197" t="s">
        <v>387</v>
      </c>
      <c r="J2197" s="6">
        <v>150000</v>
      </c>
    </row>
    <row r="2198" spans="1:12" x14ac:dyDescent="0.25">
      <c r="I2198" t="s">
        <v>968</v>
      </c>
      <c r="J2198" s="6">
        <v>76000</v>
      </c>
    </row>
    <row r="2199" spans="1:12" x14ac:dyDescent="0.25">
      <c r="I2199" t="s">
        <v>76</v>
      </c>
      <c r="J2199" s="6">
        <v>742000</v>
      </c>
    </row>
    <row r="2201" spans="1:12" x14ac:dyDescent="0.25">
      <c r="I2201" t="s">
        <v>22</v>
      </c>
      <c r="J2201" s="6">
        <f>SUM(J2192:J2200)</f>
        <v>1528000</v>
      </c>
    </row>
    <row r="2203" spans="1:12" x14ac:dyDescent="0.25">
      <c r="A2203" s="1" t="s">
        <v>0</v>
      </c>
      <c r="B2203" s="1" t="s">
        <v>1</v>
      </c>
      <c r="C2203" s="1" t="s">
        <v>2</v>
      </c>
      <c r="D2203" s="1" t="s">
        <v>3</v>
      </c>
      <c r="E2203" s="1" t="s">
        <v>4</v>
      </c>
      <c r="F2203" s="2" t="s">
        <v>5</v>
      </c>
      <c r="G2203" s="3" t="s">
        <v>6</v>
      </c>
      <c r="H2203" s="3" t="s">
        <v>7</v>
      </c>
      <c r="I2203" s="4" t="s">
        <v>8</v>
      </c>
      <c r="J2203" s="2" t="s">
        <v>9</v>
      </c>
      <c r="K2203" s="3" t="s">
        <v>10</v>
      </c>
      <c r="L2203" s="2" t="s">
        <v>9</v>
      </c>
    </row>
    <row r="2204" spans="1:12" x14ac:dyDescent="0.25">
      <c r="A2204" s="5">
        <v>46000</v>
      </c>
      <c r="B2204" t="s">
        <v>317</v>
      </c>
      <c r="C2204" t="s">
        <v>176</v>
      </c>
      <c r="D2204" t="s">
        <v>25</v>
      </c>
      <c r="E2204">
        <v>2021</v>
      </c>
      <c r="G2204" t="s">
        <v>1192</v>
      </c>
      <c r="H2204">
        <v>3172333556</v>
      </c>
      <c r="I2204" t="s">
        <v>70</v>
      </c>
    </row>
    <row r="2205" spans="1:12" x14ac:dyDescent="0.25">
      <c r="I2205" t="s">
        <v>21</v>
      </c>
    </row>
    <row r="2207" spans="1:12" x14ac:dyDescent="0.25">
      <c r="I2207" t="s">
        <v>22</v>
      </c>
    </row>
    <row r="2209" spans="1:12" x14ac:dyDescent="0.25">
      <c r="A2209" s="1" t="s">
        <v>0</v>
      </c>
      <c r="B2209" s="1" t="s">
        <v>1</v>
      </c>
      <c r="C2209" s="1" t="s">
        <v>2</v>
      </c>
      <c r="D2209" s="1" t="s">
        <v>3</v>
      </c>
      <c r="E2209" s="1" t="s">
        <v>4</v>
      </c>
      <c r="F2209" s="2" t="s">
        <v>5</v>
      </c>
      <c r="G2209" s="3" t="s">
        <v>6</v>
      </c>
      <c r="H2209" s="3" t="s">
        <v>7</v>
      </c>
      <c r="I2209" s="4" t="s">
        <v>8</v>
      </c>
      <c r="J2209" s="2" t="s">
        <v>9</v>
      </c>
      <c r="K2209" s="3" t="s">
        <v>10</v>
      </c>
      <c r="L2209" s="2" t="s">
        <v>9</v>
      </c>
    </row>
    <row r="2210" spans="1:12" x14ac:dyDescent="0.25">
      <c r="A2210" s="5">
        <v>46001</v>
      </c>
      <c r="B2210" t="s">
        <v>31</v>
      </c>
      <c r="C2210" t="s">
        <v>983</v>
      </c>
      <c r="D2210" t="s">
        <v>45</v>
      </c>
      <c r="E2210">
        <v>2014</v>
      </c>
      <c r="F2210" s="6">
        <v>79474</v>
      </c>
      <c r="G2210" t="s">
        <v>984</v>
      </c>
      <c r="I2210" t="s">
        <v>75</v>
      </c>
      <c r="J2210" s="6">
        <v>305000</v>
      </c>
    </row>
    <row r="2211" spans="1:12" x14ac:dyDescent="0.25">
      <c r="I2211" t="s">
        <v>985</v>
      </c>
      <c r="J2211" s="6">
        <v>30000</v>
      </c>
    </row>
    <row r="2212" spans="1:12" x14ac:dyDescent="0.25">
      <c r="I2212" t="s">
        <v>61</v>
      </c>
      <c r="J2212" s="6">
        <v>60000</v>
      </c>
    </row>
    <row r="2214" spans="1:12" x14ac:dyDescent="0.25">
      <c r="I2214" t="s">
        <v>22</v>
      </c>
      <c r="J2214" s="6">
        <f>SUM(J2210:J2213)</f>
        <v>395000</v>
      </c>
    </row>
    <row r="2216" spans="1:12" x14ac:dyDescent="0.25">
      <c r="A2216" s="1" t="s">
        <v>0</v>
      </c>
      <c r="B2216" s="1" t="s">
        <v>1</v>
      </c>
      <c r="C2216" s="1" t="s">
        <v>2</v>
      </c>
      <c r="D2216" s="1" t="s">
        <v>3</v>
      </c>
      <c r="E2216" s="1" t="s">
        <v>4</v>
      </c>
      <c r="F2216" s="2" t="s">
        <v>5</v>
      </c>
      <c r="G2216" s="3" t="s">
        <v>6</v>
      </c>
      <c r="H2216" s="3" t="s">
        <v>7</v>
      </c>
      <c r="I2216" s="4" t="s">
        <v>8</v>
      </c>
      <c r="J2216" s="2" t="s">
        <v>9</v>
      </c>
      <c r="K2216" s="3" t="s">
        <v>10</v>
      </c>
      <c r="L2216" s="2" t="s">
        <v>9</v>
      </c>
    </row>
    <row r="2217" spans="1:12" x14ac:dyDescent="0.25">
      <c r="A2217" s="5">
        <v>46001</v>
      </c>
      <c r="B2217" t="s">
        <v>31</v>
      </c>
      <c r="C2217" t="s">
        <v>986</v>
      </c>
      <c r="F2217" s="6">
        <v>69039</v>
      </c>
      <c r="G2217" t="s">
        <v>987</v>
      </c>
      <c r="I2217" t="s">
        <v>34</v>
      </c>
      <c r="J2217" s="6">
        <v>40000</v>
      </c>
    </row>
    <row r="2218" spans="1:12" x14ac:dyDescent="0.25">
      <c r="I2218" t="s">
        <v>19</v>
      </c>
      <c r="J2218" s="6">
        <v>46000</v>
      </c>
    </row>
    <row r="2219" spans="1:12" x14ac:dyDescent="0.25">
      <c r="I2219" t="s">
        <v>107</v>
      </c>
      <c r="J2219" s="6">
        <v>120000</v>
      </c>
    </row>
    <row r="2220" spans="1:12" x14ac:dyDescent="0.25">
      <c r="I2220" t="s">
        <v>354</v>
      </c>
      <c r="J2220" s="6">
        <v>40000</v>
      </c>
    </row>
    <row r="2222" spans="1:12" x14ac:dyDescent="0.25">
      <c r="I2222" t="s">
        <v>22</v>
      </c>
      <c r="J2222" s="6">
        <f>SUM(J2217:J2221)</f>
        <v>246000</v>
      </c>
    </row>
    <row r="2224" spans="1:12" x14ac:dyDescent="0.25">
      <c r="A2224" s="1" t="s">
        <v>0</v>
      </c>
      <c r="B2224" s="1" t="s">
        <v>1</v>
      </c>
      <c r="C2224" s="1" t="s">
        <v>2</v>
      </c>
      <c r="D2224" s="1" t="s">
        <v>3</v>
      </c>
      <c r="E2224" s="1" t="s">
        <v>4</v>
      </c>
      <c r="F2224" s="2" t="s">
        <v>5</v>
      </c>
      <c r="G2224" s="3" t="s">
        <v>6</v>
      </c>
      <c r="H2224" s="3" t="s">
        <v>7</v>
      </c>
      <c r="I2224" s="4" t="s">
        <v>8</v>
      </c>
      <c r="J2224" s="2" t="s">
        <v>9</v>
      </c>
      <c r="K2224" s="3" t="s">
        <v>10</v>
      </c>
      <c r="L2224" s="2" t="s">
        <v>9</v>
      </c>
    </row>
    <row r="2225" spans="1:12" x14ac:dyDescent="0.25">
      <c r="A2225" s="5">
        <v>46001</v>
      </c>
      <c r="B2225" t="s">
        <v>48</v>
      </c>
      <c r="C2225" t="s">
        <v>988</v>
      </c>
      <c r="F2225" s="6">
        <v>26764</v>
      </c>
      <c r="G2225" t="s">
        <v>989</v>
      </c>
      <c r="I2225" t="s">
        <v>70</v>
      </c>
      <c r="J2225" s="6">
        <v>390000</v>
      </c>
    </row>
    <row r="2226" spans="1:12" x14ac:dyDescent="0.25">
      <c r="I2226" t="s">
        <v>34</v>
      </c>
      <c r="J2226" s="6">
        <v>243000</v>
      </c>
    </row>
    <row r="2227" spans="1:12" x14ac:dyDescent="0.25">
      <c r="I2227" t="s">
        <v>19</v>
      </c>
      <c r="J2227" s="6">
        <v>46000</v>
      </c>
    </row>
    <row r="2228" spans="1:12" x14ac:dyDescent="0.25">
      <c r="I2228" t="s">
        <v>381</v>
      </c>
      <c r="J2228" s="6">
        <v>20000</v>
      </c>
    </row>
    <row r="2230" spans="1:12" x14ac:dyDescent="0.25">
      <c r="I2230" t="s">
        <v>22</v>
      </c>
      <c r="J2230" s="6">
        <f>SUM(J2225:J2229)</f>
        <v>699000</v>
      </c>
    </row>
    <row r="2232" spans="1:12" x14ac:dyDescent="0.25">
      <c r="A2232" s="1" t="s">
        <v>0</v>
      </c>
      <c r="B2232" s="1" t="s">
        <v>1</v>
      </c>
      <c r="C2232" s="1" t="s">
        <v>2</v>
      </c>
      <c r="D2232" s="1" t="s">
        <v>3</v>
      </c>
      <c r="E2232" s="1" t="s">
        <v>4</v>
      </c>
      <c r="F2232" s="2" t="s">
        <v>5</v>
      </c>
      <c r="G2232" s="3" t="s">
        <v>6</v>
      </c>
      <c r="H2232" s="3" t="s">
        <v>7</v>
      </c>
      <c r="I2232" s="4" t="s">
        <v>8</v>
      </c>
      <c r="J2232" s="2" t="s">
        <v>9</v>
      </c>
      <c r="K2232" s="3" t="s">
        <v>10</v>
      </c>
      <c r="L2232" s="2" t="s">
        <v>9</v>
      </c>
    </row>
    <row r="2233" spans="1:12" x14ac:dyDescent="0.25">
      <c r="A2233" s="5">
        <v>46001</v>
      </c>
      <c r="B2233" t="s">
        <v>23</v>
      </c>
      <c r="D2233" t="s">
        <v>138</v>
      </c>
      <c r="G2233" t="s">
        <v>990</v>
      </c>
      <c r="I2233" t="s">
        <v>198</v>
      </c>
      <c r="J2233" s="6">
        <v>540000</v>
      </c>
    </row>
    <row r="2234" spans="1:12" x14ac:dyDescent="0.25">
      <c r="I2234" t="s">
        <v>991</v>
      </c>
      <c r="J2234" s="6">
        <v>275000</v>
      </c>
    </row>
    <row r="2235" spans="1:12" x14ac:dyDescent="0.25">
      <c r="I2235" t="s">
        <v>70</v>
      </c>
      <c r="J2235" s="6">
        <v>420000</v>
      </c>
    </row>
    <row r="2236" spans="1:12" x14ac:dyDescent="0.25">
      <c r="I2236" t="s">
        <v>19</v>
      </c>
      <c r="J2236" s="6">
        <v>159000</v>
      </c>
    </row>
    <row r="2237" spans="1:12" x14ac:dyDescent="0.25">
      <c r="I2237" t="s">
        <v>992</v>
      </c>
      <c r="J2237" s="6">
        <v>50000</v>
      </c>
    </row>
    <row r="2238" spans="1:12" x14ac:dyDescent="0.25">
      <c r="I2238" t="s">
        <v>993</v>
      </c>
      <c r="J2238" s="6">
        <v>80000</v>
      </c>
    </row>
    <row r="2240" spans="1:12" x14ac:dyDescent="0.25">
      <c r="I2240" t="s">
        <v>22</v>
      </c>
      <c r="J2240" s="6">
        <f>SUM(J2233:J2239)</f>
        <v>1524000</v>
      </c>
    </row>
    <row r="2242" spans="1:12" x14ac:dyDescent="0.25">
      <c r="A2242" s="1" t="s">
        <v>0</v>
      </c>
      <c r="B2242" s="1" t="s">
        <v>1</v>
      </c>
      <c r="C2242" s="1" t="s">
        <v>2</v>
      </c>
      <c r="D2242" s="1" t="s">
        <v>3</v>
      </c>
      <c r="E2242" s="1" t="s">
        <v>4</v>
      </c>
      <c r="F2242" s="2" t="s">
        <v>5</v>
      </c>
      <c r="G2242" s="3" t="s">
        <v>6</v>
      </c>
      <c r="H2242" s="3" t="s">
        <v>7</v>
      </c>
      <c r="I2242" s="4" t="s">
        <v>8</v>
      </c>
      <c r="J2242" s="2" t="s">
        <v>9</v>
      </c>
      <c r="K2242" s="3" t="s">
        <v>10</v>
      </c>
      <c r="L2242" s="2" t="s">
        <v>9</v>
      </c>
    </row>
    <row r="2243" spans="1:12" x14ac:dyDescent="0.25">
      <c r="A2243" s="5">
        <v>46001</v>
      </c>
      <c r="B2243" t="s">
        <v>338</v>
      </c>
      <c r="C2243" t="s">
        <v>97</v>
      </c>
      <c r="E2243">
        <v>2020</v>
      </c>
      <c r="F2243" s="6">
        <v>44286</v>
      </c>
      <c r="G2243" t="s">
        <v>99</v>
      </c>
      <c r="H2243">
        <v>3138275107</v>
      </c>
      <c r="I2243" t="s">
        <v>536</v>
      </c>
      <c r="J2243" s="6">
        <v>95000</v>
      </c>
    </row>
    <row r="2244" spans="1:12" x14ac:dyDescent="0.25">
      <c r="I2244" t="s">
        <v>994</v>
      </c>
      <c r="J2244" s="6">
        <v>40000</v>
      </c>
    </row>
    <row r="2246" spans="1:12" x14ac:dyDescent="0.25">
      <c r="I2246" t="s">
        <v>22</v>
      </c>
      <c r="J2246" s="6">
        <f>SUM(J2243:J2245)</f>
        <v>135000</v>
      </c>
    </row>
    <row r="2248" spans="1:12" x14ac:dyDescent="0.25">
      <c r="A2248" s="1" t="s">
        <v>0</v>
      </c>
      <c r="B2248" s="1" t="s">
        <v>1</v>
      </c>
      <c r="C2248" s="1" t="s">
        <v>2</v>
      </c>
      <c r="D2248" s="1" t="s">
        <v>3</v>
      </c>
      <c r="E2248" s="1" t="s">
        <v>4</v>
      </c>
      <c r="F2248" s="2" t="s">
        <v>5</v>
      </c>
      <c r="G2248" s="3" t="s">
        <v>6</v>
      </c>
      <c r="H2248" s="3" t="s">
        <v>7</v>
      </c>
      <c r="I2248" s="4" t="s">
        <v>8</v>
      </c>
      <c r="J2248" s="2" t="s">
        <v>9</v>
      </c>
      <c r="K2248" s="3" t="s">
        <v>10</v>
      </c>
      <c r="L2248" s="2" t="s">
        <v>9</v>
      </c>
    </row>
    <row r="2249" spans="1:12" x14ac:dyDescent="0.25">
      <c r="A2249" s="5">
        <v>46001</v>
      </c>
      <c r="B2249" t="s">
        <v>477</v>
      </c>
      <c r="C2249" t="s">
        <v>1023</v>
      </c>
      <c r="G2249" t="s">
        <v>1024</v>
      </c>
      <c r="H2249">
        <v>3212426759</v>
      </c>
      <c r="I2249" t="s">
        <v>70</v>
      </c>
    </row>
    <row r="2250" spans="1:12" x14ac:dyDescent="0.25">
      <c r="I2250" t="s">
        <v>34</v>
      </c>
    </row>
    <row r="2251" spans="1:12" x14ac:dyDescent="0.25">
      <c r="I2251" t="s">
        <v>19</v>
      </c>
    </row>
    <row r="2252" spans="1:12" x14ac:dyDescent="0.25">
      <c r="I2252" t="s">
        <v>21</v>
      </c>
    </row>
    <row r="2253" spans="1:12" x14ac:dyDescent="0.25">
      <c r="I2253" t="s">
        <v>1201</v>
      </c>
    </row>
    <row r="2255" spans="1:12" x14ac:dyDescent="0.25">
      <c r="I2255" t="s">
        <v>22</v>
      </c>
    </row>
    <row r="2257" spans="1:12" x14ac:dyDescent="0.25">
      <c r="A2257" s="1" t="s">
        <v>0</v>
      </c>
      <c r="B2257" s="1" t="s">
        <v>1</v>
      </c>
      <c r="C2257" s="1" t="s">
        <v>2</v>
      </c>
      <c r="D2257" s="1" t="s">
        <v>3</v>
      </c>
      <c r="E2257" s="1" t="s">
        <v>4</v>
      </c>
      <c r="F2257" s="2" t="s">
        <v>5</v>
      </c>
      <c r="G2257" s="3" t="s">
        <v>6</v>
      </c>
      <c r="H2257" s="3" t="s">
        <v>7</v>
      </c>
      <c r="I2257" s="4" t="s">
        <v>8</v>
      </c>
      <c r="J2257" s="2" t="s">
        <v>9</v>
      </c>
      <c r="K2257" s="3" t="s">
        <v>10</v>
      </c>
      <c r="L2257" s="2" t="s">
        <v>9</v>
      </c>
    </row>
    <row r="2258" spans="1:12" x14ac:dyDescent="0.25">
      <c r="A2258" s="5">
        <v>46002</v>
      </c>
      <c r="B2258" t="s">
        <v>31</v>
      </c>
      <c r="C2258" t="s">
        <v>995</v>
      </c>
      <c r="D2258" t="s">
        <v>12</v>
      </c>
      <c r="E2258">
        <v>2017</v>
      </c>
      <c r="F2258" s="6">
        <v>43760</v>
      </c>
      <c r="G2258" t="s">
        <v>996</v>
      </c>
      <c r="H2258">
        <v>3003607611</v>
      </c>
      <c r="I2258" t="s">
        <v>958</v>
      </c>
      <c r="J2258" s="6">
        <v>390000</v>
      </c>
    </row>
    <row r="2259" spans="1:12" x14ac:dyDescent="0.25">
      <c r="I2259" t="s">
        <v>733</v>
      </c>
      <c r="J2259" s="6">
        <v>90000</v>
      </c>
    </row>
    <row r="2260" spans="1:12" x14ac:dyDescent="0.25">
      <c r="I2260" t="s">
        <v>146</v>
      </c>
      <c r="J2260" s="6">
        <v>35000</v>
      </c>
    </row>
    <row r="2261" spans="1:12" x14ac:dyDescent="0.25">
      <c r="I2261" t="s">
        <v>997</v>
      </c>
      <c r="J2261" s="6">
        <v>208000</v>
      </c>
    </row>
    <row r="2262" spans="1:12" x14ac:dyDescent="0.25">
      <c r="I2262" t="s">
        <v>998</v>
      </c>
      <c r="J2262" s="6">
        <v>46000</v>
      </c>
    </row>
    <row r="2263" spans="1:12" x14ac:dyDescent="0.25">
      <c r="I2263" t="s">
        <v>21</v>
      </c>
      <c r="J2263" s="6">
        <v>25000</v>
      </c>
    </row>
    <row r="2264" spans="1:12" x14ac:dyDescent="0.25">
      <c r="I2264" t="s">
        <v>999</v>
      </c>
      <c r="J2264" s="6">
        <v>150000</v>
      </c>
    </row>
    <row r="2265" spans="1:12" x14ac:dyDescent="0.25">
      <c r="I2265" t="s">
        <v>50</v>
      </c>
      <c r="J2265" s="6">
        <v>80000</v>
      </c>
    </row>
    <row r="2266" spans="1:12" x14ac:dyDescent="0.25">
      <c r="I2266" t="s">
        <v>1000</v>
      </c>
      <c r="J2266" s="6">
        <v>120000</v>
      </c>
    </row>
    <row r="2268" spans="1:12" x14ac:dyDescent="0.25">
      <c r="I2268" t="s">
        <v>22</v>
      </c>
      <c r="J2268" s="6">
        <f>SUM(J2258:J2267)</f>
        <v>1144000</v>
      </c>
    </row>
    <row r="2270" spans="1:12" x14ac:dyDescent="0.25">
      <c r="A2270" s="1" t="s">
        <v>0</v>
      </c>
      <c r="B2270" s="1" t="s">
        <v>1</v>
      </c>
      <c r="C2270" s="1" t="s">
        <v>2</v>
      </c>
      <c r="D2270" s="1" t="s">
        <v>3</v>
      </c>
      <c r="E2270" s="1" t="s">
        <v>4</v>
      </c>
      <c r="F2270" s="2" t="s">
        <v>5</v>
      </c>
      <c r="G2270" s="3" t="s">
        <v>6</v>
      </c>
      <c r="H2270" s="3" t="s">
        <v>7</v>
      </c>
      <c r="I2270" s="4" t="s">
        <v>8</v>
      </c>
      <c r="J2270" s="2" t="s">
        <v>9</v>
      </c>
      <c r="K2270" s="3" t="s">
        <v>10</v>
      </c>
      <c r="L2270" s="2" t="s">
        <v>9</v>
      </c>
    </row>
    <row r="2271" spans="1:12" x14ac:dyDescent="0.25">
      <c r="A2271" s="5">
        <v>46002</v>
      </c>
      <c r="B2271" t="s">
        <v>31</v>
      </c>
      <c r="C2271" t="s">
        <v>976</v>
      </c>
      <c r="F2271" s="6">
        <v>70261</v>
      </c>
      <c r="G2271" t="s">
        <v>1001</v>
      </c>
      <c r="I2271" t="s">
        <v>35</v>
      </c>
      <c r="J2271" s="6">
        <v>150000</v>
      </c>
    </row>
    <row r="2272" spans="1:12" x14ac:dyDescent="0.25">
      <c r="I2272" t="s">
        <v>440</v>
      </c>
      <c r="J2272" s="6">
        <v>120000</v>
      </c>
    </row>
    <row r="2274" spans="1:12" x14ac:dyDescent="0.25">
      <c r="I2274" t="s">
        <v>22</v>
      </c>
      <c r="J2274" s="6">
        <f>SUM(J2271:J2273)</f>
        <v>270000</v>
      </c>
    </row>
    <row r="2276" spans="1:12" x14ac:dyDescent="0.25">
      <c r="A2276" s="1" t="s">
        <v>0</v>
      </c>
      <c r="B2276" s="1" t="s">
        <v>1</v>
      </c>
      <c r="C2276" s="1" t="s">
        <v>2</v>
      </c>
      <c r="D2276" s="1" t="s">
        <v>3</v>
      </c>
      <c r="E2276" s="1" t="s">
        <v>4</v>
      </c>
      <c r="F2276" s="2" t="s">
        <v>5</v>
      </c>
      <c r="G2276" s="3" t="s">
        <v>6</v>
      </c>
      <c r="H2276" s="3" t="s">
        <v>7</v>
      </c>
      <c r="I2276" s="4" t="s">
        <v>8</v>
      </c>
      <c r="J2276" s="2" t="s">
        <v>9</v>
      </c>
      <c r="K2276" s="3" t="s">
        <v>10</v>
      </c>
      <c r="L2276" s="2" t="s">
        <v>9</v>
      </c>
    </row>
    <row r="2277" spans="1:12" x14ac:dyDescent="0.25">
      <c r="A2277" s="5">
        <v>46002</v>
      </c>
      <c r="B2277" t="s">
        <v>1002</v>
      </c>
      <c r="C2277" t="s">
        <v>1003</v>
      </c>
      <c r="D2277" t="s">
        <v>138</v>
      </c>
      <c r="F2277" s="6">
        <v>80952</v>
      </c>
      <c r="G2277" t="s">
        <v>1004</v>
      </c>
      <c r="I2277" t="s">
        <v>1005</v>
      </c>
    </row>
    <row r="2278" spans="1:12" x14ac:dyDescent="0.25">
      <c r="I2278" t="s">
        <v>61</v>
      </c>
    </row>
    <row r="2279" spans="1:12" x14ac:dyDescent="0.25">
      <c r="I2279" t="s">
        <v>1006</v>
      </c>
    </row>
    <row r="2281" spans="1:12" x14ac:dyDescent="0.25">
      <c r="I2281" t="s">
        <v>22</v>
      </c>
      <c r="J2281" s="6">
        <v>424000</v>
      </c>
    </row>
    <row r="2283" spans="1:12" x14ac:dyDescent="0.25">
      <c r="A2283" s="1" t="s">
        <v>0</v>
      </c>
      <c r="B2283" s="1" t="s">
        <v>1</v>
      </c>
      <c r="C2283" s="1" t="s">
        <v>2</v>
      </c>
      <c r="D2283" s="1" t="s">
        <v>3</v>
      </c>
      <c r="E2283" s="1" t="s">
        <v>4</v>
      </c>
      <c r="F2283" s="2" t="s">
        <v>5</v>
      </c>
      <c r="G2283" s="3" t="s">
        <v>6</v>
      </c>
      <c r="H2283" s="3" t="s">
        <v>7</v>
      </c>
      <c r="I2283" s="4" t="s">
        <v>8</v>
      </c>
      <c r="J2283" s="2" t="s">
        <v>9</v>
      </c>
      <c r="K2283" s="3" t="s">
        <v>10</v>
      </c>
      <c r="L2283" s="2" t="s">
        <v>9</v>
      </c>
    </row>
    <row r="2284" spans="1:12" x14ac:dyDescent="0.25">
      <c r="A2284" s="5">
        <v>46003</v>
      </c>
      <c r="B2284" t="s">
        <v>130</v>
      </c>
      <c r="C2284" t="s">
        <v>1007</v>
      </c>
      <c r="D2284" t="s">
        <v>1008</v>
      </c>
      <c r="G2284" t="s">
        <v>1009</v>
      </c>
      <c r="I2284" t="s">
        <v>135</v>
      </c>
      <c r="J2284" s="6">
        <v>60000</v>
      </c>
    </row>
    <row r="2285" spans="1:12" x14ac:dyDescent="0.25">
      <c r="I2285" t="s">
        <v>1010</v>
      </c>
      <c r="J2285" s="6">
        <v>120000</v>
      </c>
    </row>
    <row r="2286" spans="1:12" x14ac:dyDescent="0.25">
      <c r="I2286" t="s">
        <v>340</v>
      </c>
      <c r="J2286" s="6">
        <v>1350000</v>
      </c>
    </row>
    <row r="2287" spans="1:12" x14ac:dyDescent="0.25">
      <c r="I2287" t="s">
        <v>1011</v>
      </c>
      <c r="J2287" s="6">
        <v>300000</v>
      </c>
    </row>
    <row r="2289" spans="1:12" x14ac:dyDescent="0.25">
      <c r="I2289" t="s">
        <v>1012</v>
      </c>
      <c r="J2289" s="6">
        <v>-350000</v>
      </c>
    </row>
    <row r="2291" spans="1:12" x14ac:dyDescent="0.25">
      <c r="I2291" t="s">
        <v>22</v>
      </c>
      <c r="J2291" s="6">
        <f>SUM(J2284:J2290)</f>
        <v>1480000</v>
      </c>
    </row>
    <row r="2293" spans="1:12" x14ac:dyDescent="0.25">
      <c r="A2293" s="1" t="s">
        <v>0</v>
      </c>
      <c r="B2293" s="1" t="s">
        <v>1</v>
      </c>
      <c r="C2293" s="1" t="s">
        <v>2</v>
      </c>
      <c r="D2293" s="1" t="s">
        <v>3</v>
      </c>
      <c r="E2293" s="1" t="s">
        <v>4</v>
      </c>
      <c r="F2293" s="2" t="s">
        <v>5</v>
      </c>
      <c r="G2293" s="3" t="s">
        <v>6</v>
      </c>
      <c r="H2293" s="3" t="s">
        <v>7</v>
      </c>
      <c r="I2293" s="4" t="s">
        <v>8</v>
      </c>
      <c r="J2293" s="2" t="s">
        <v>9</v>
      </c>
      <c r="K2293" s="3" t="s">
        <v>10</v>
      </c>
      <c r="L2293" s="2" t="s">
        <v>9</v>
      </c>
    </row>
    <row r="2294" spans="1:12" x14ac:dyDescent="0.25">
      <c r="A2294" s="5">
        <v>46003</v>
      </c>
      <c r="B2294" t="s">
        <v>110</v>
      </c>
      <c r="C2294" t="s">
        <v>1013</v>
      </c>
      <c r="D2294" t="s">
        <v>227</v>
      </c>
      <c r="E2294">
        <v>2005</v>
      </c>
      <c r="F2294" s="6">
        <v>128657</v>
      </c>
      <c r="G2294" t="s">
        <v>1014</v>
      </c>
      <c r="H2294">
        <v>3165217804</v>
      </c>
      <c r="I2294" t="s">
        <v>1015</v>
      </c>
      <c r="J2294" s="6">
        <v>129000</v>
      </c>
    </row>
    <row r="2295" spans="1:12" x14ac:dyDescent="0.25">
      <c r="I2295" t="s">
        <v>350</v>
      </c>
      <c r="J2295" s="6">
        <v>693300</v>
      </c>
    </row>
    <row r="2296" spans="1:12" x14ac:dyDescent="0.25">
      <c r="I2296" t="s">
        <v>1016</v>
      </c>
      <c r="J2296" s="6">
        <v>50000</v>
      </c>
    </row>
    <row r="2297" spans="1:12" x14ac:dyDescent="0.25">
      <c r="I2297" t="s">
        <v>890</v>
      </c>
      <c r="J2297" s="6">
        <v>30000</v>
      </c>
    </row>
    <row r="2298" spans="1:12" x14ac:dyDescent="0.25">
      <c r="I2298" t="s">
        <v>34</v>
      </c>
      <c r="J2298" s="6">
        <v>162000</v>
      </c>
    </row>
    <row r="2299" spans="1:12" x14ac:dyDescent="0.25">
      <c r="I2299" t="s">
        <v>19</v>
      </c>
      <c r="J2299" s="6">
        <v>46000</v>
      </c>
    </row>
    <row r="2300" spans="1:12" x14ac:dyDescent="0.25">
      <c r="I2300" t="s">
        <v>61</v>
      </c>
      <c r="J2300" s="6">
        <v>120000</v>
      </c>
    </row>
    <row r="2301" spans="1:12" x14ac:dyDescent="0.25">
      <c r="I2301" t="s">
        <v>1017</v>
      </c>
      <c r="J2301" s="6">
        <v>10000</v>
      </c>
    </row>
    <row r="2302" spans="1:12" x14ac:dyDescent="0.25">
      <c r="I2302" t="s">
        <v>721</v>
      </c>
      <c r="J2302" s="6">
        <v>110000</v>
      </c>
    </row>
    <row r="2303" spans="1:12" x14ac:dyDescent="0.25">
      <c r="I2303" t="s">
        <v>42</v>
      </c>
      <c r="J2303" s="6">
        <v>238000</v>
      </c>
    </row>
    <row r="2305" spans="1:12" x14ac:dyDescent="0.25">
      <c r="I2305" t="s">
        <v>22</v>
      </c>
      <c r="J2305" s="6">
        <f>SUM(J2294:J2304)</f>
        <v>1588300</v>
      </c>
    </row>
    <row r="2307" spans="1:12" x14ac:dyDescent="0.25">
      <c r="A2307" s="1" t="s">
        <v>0</v>
      </c>
      <c r="B2307" s="1" t="s">
        <v>1</v>
      </c>
      <c r="C2307" s="1" t="s">
        <v>2</v>
      </c>
      <c r="D2307" s="1" t="s">
        <v>3</v>
      </c>
      <c r="E2307" s="1" t="s">
        <v>4</v>
      </c>
      <c r="F2307" s="2" t="s">
        <v>5</v>
      </c>
      <c r="G2307" s="3" t="s">
        <v>6</v>
      </c>
      <c r="H2307" s="3" t="s">
        <v>7</v>
      </c>
      <c r="I2307" s="4" t="s">
        <v>8</v>
      </c>
      <c r="J2307" s="2" t="s">
        <v>9</v>
      </c>
      <c r="K2307" s="3" t="s">
        <v>10</v>
      </c>
      <c r="L2307" s="2" t="s">
        <v>9</v>
      </c>
    </row>
    <row r="2308" spans="1:12" x14ac:dyDescent="0.25">
      <c r="A2308" s="5">
        <v>46003</v>
      </c>
      <c r="B2308" t="s">
        <v>1018</v>
      </c>
      <c r="C2308" t="s">
        <v>1019</v>
      </c>
      <c r="F2308" s="6">
        <v>7369</v>
      </c>
      <c r="I2308" t="s">
        <v>70</v>
      </c>
      <c r="J2308" s="6">
        <v>300000</v>
      </c>
    </row>
    <row r="2309" spans="1:12" x14ac:dyDescent="0.25">
      <c r="I2309" t="s">
        <v>235</v>
      </c>
      <c r="J2309" s="6">
        <v>87000</v>
      </c>
    </row>
    <row r="2310" spans="1:12" x14ac:dyDescent="0.25">
      <c r="I2310" t="s">
        <v>19</v>
      </c>
      <c r="J2310" s="6">
        <v>20000</v>
      </c>
    </row>
    <row r="2312" spans="1:12" x14ac:dyDescent="0.25">
      <c r="I2312" t="s">
        <v>22</v>
      </c>
      <c r="J2312" s="6">
        <f>SUM(J2308:J2311)</f>
        <v>407000</v>
      </c>
    </row>
    <row r="2314" spans="1:12" x14ac:dyDescent="0.25">
      <c r="A2314" s="1" t="s">
        <v>0</v>
      </c>
      <c r="B2314" s="1" t="s">
        <v>1</v>
      </c>
      <c r="C2314" s="1" t="s">
        <v>2</v>
      </c>
      <c r="D2314" s="1" t="s">
        <v>3</v>
      </c>
      <c r="E2314" s="1" t="s">
        <v>4</v>
      </c>
      <c r="F2314" s="2" t="s">
        <v>5</v>
      </c>
      <c r="G2314" s="3" t="s">
        <v>6</v>
      </c>
      <c r="H2314" s="3" t="s">
        <v>7</v>
      </c>
      <c r="I2314" s="4" t="s">
        <v>8</v>
      </c>
      <c r="J2314" s="2" t="s">
        <v>9</v>
      </c>
      <c r="K2314" s="3" t="s">
        <v>10</v>
      </c>
      <c r="L2314" s="2" t="s">
        <v>9</v>
      </c>
    </row>
    <row r="2315" spans="1:12" x14ac:dyDescent="0.25">
      <c r="A2315" s="5">
        <v>46003</v>
      </c>
      <c r="B2315" t="s">
        <v>1020</v>
      </c>
      <c r="C2315" t="s">
        <v>1021</v>
      </c>
      <c r="F2315" s="6">
        <v>36766</v>
      </c>
      <c r="I2315" t="s">
        <v>34</v>
      </c>
      <c r="J2315" s="6">
        <v>225000</v>
      </c>
    </row>
    <row r="2316" spans="1:12" x14ac:dyDescent="0.25">
      <c r="I2316" t="s">
        <v>1022</v>
      </c>
      <c r="J2316" s="6">
        <v>46000</v>
      </c>
    </row>
    <row r="2317" spans="1:12" x14ac:dyDescent="0.25">
      <c r="I2317" t="s">
        <v>151</v>
      </c>
      <c r="J2317" s="6">
        <v>25000</v>
      </c>
    </row>
    <row r="2318" spans="1:12" x14ac:dyDescent="0.25">
      <c r="I2318" t="s">
        <v>208</v>
      </c>
      <c r="J2318" s="6">
        <v>15000</v>
      </c>
    </row>
    <row r="2320" spans="1:12" x14ac:dyDescent="0.25">
      <c r="I2320" t="s">
        <v>22</v>
      </c>
      <c r="J2320" s="6">
        <f>SUM(J2315:J2319)</f>
        <v>311000</v>
      </c>
    </row>
    <row r="2322" spans="1:12" x14ac:dyDescent="0.25">
      <c r="A2322" s="1" t="s">
        <v>0</v>
      </c>
      <c r="B2322" s="1" t="s">
        <v>1</v>
      </c>
      <c r="C2322" s="1" t="s">
        <v>2</v>
      </c>
      <c r="D2322" s="1" t="s">
        <v>3</v>
      </c>
      <c r="E2322" s="1" t="s">
        <v>4</v>
      </c>
      <c r="F2322" s="2" t="s">
        <v>5</v>
      </c>
      <c r="G2322" s="3" t="s">
        <v>6</v>
      </c>
      <c r="H2322" s="3" t="s">
        <v>7</v>
      </c>
      <c r="I2322" s="4" t="s">
        <v>8</v>
      </c>
      <c r="J2322" s="2" t="s">
        <v>9</v>
      </c>
      <c r="K2322" s="3" t="s">
        <v>10</v>
      </c>
      <c r="L2322" s="2" t="s">
        <v>9</v>
      </c>
    </row>
    <row r="2323" spans="1:12" x14ac:dyDescent="0.25">
      <c r="A2323" s="5">
        <v>46003</v>
      </c>
      <c r="B2323" t="s">
        <v>31</v>
      </c>
      <c r="C2323" t="s">
        <v>626</v>
      </c>
      <c r="D2323" t="s">
        <v>45</v>
      </c>
      <c r="E2323">
        <v>2015</v>
      </c>
      <c r="F2323" s="6">
        <v>84268</v>
      </c>
      <c r="G2323" t="s">
        <v>627</v>
      </c>
      <c r="I2323" t="s">
        <v>35</v>
      </c>
      <c r="J2323" s="6">
        <v>150000</v>
      </c>
    </row>
    <row r="2324" spans="1:12" x14ac:dyDescent="0.25">
      <c r="I2324" t="s">
        <v>1030</v>
      </c>
      <c r="J2324" s="6">
        <v>60000</v>
      </c>
    </row>
    <row r="2325" spans="1:12" x14ac:dyDescent="0.25">
      <c r="I2325" t="s">
        <v>21</v>
      </c>
      <c r="J2325" s="6">
        <v>25000</v>
      </c>
    </row>
    <row r="2326" spans="1:12" x14ac:dyDescent="0.25">
      <c r="I2326" t="s">
        <v>1031</v>
      </c>
      <c r="J2326" s="6">
        <v>24000</v>
      </c>
    </row>
    <row r="2327" spans="1:12" x14ac:dyDescent="0.25">
      <c r="I2327" t="s">
        <v>1032</v>
      </c>
      <c r="J2327" s="6">
        <v>10000</v>
      </c>
    </row>
    <row r="2328" spans="1:12" x14ac:dyDescent="0.25">
      <c r="I2328" t="s">
        <v>70</v>
      </c>
      <c r="J2328" s="6">
        <v>390000</v>
      </c>
    </row>
    <row r="2329" spans="1:12" x14ac:dyDescent="0.25">
      <c r="I2329" t="s">
        <v>1033</v>
      </c>
      <c r="J2329" s="6">
        <v>60000</v>
      </c>
    </row>
    <row r="2330" spans="1:12" x14ac:dyDescent="0.25">
      <c r="I2330" t="s">
        <v>50</v>
      </c>
      <c r="J2330" s="6">
        <v>80000</v>
      </c>
    </row>
    <row r="2331" spans="1:12" x14ac:dyDescent="0.25">
      <c r="I2331" t="s">
        <v>1034</v>
      </c>
      <c r="J2331" s="6">
        <v>50000</v>
      </c>
    </row>
    <row r="2333" spans="1:12" x14ac:dyDescent="0.25">
      <c r="I2333" t="s">
        <v>22</v>
      </c>
      <c r="J2333" s="6">
        <f>SUM(J2323:J2332)</f>
        <v>849000</v>
      </c>
    </row>
    <row r="2335" spans="1:12" x14ac:dyDescent="0.25">
      <c r="A2335" s="1" t="s">
        <v>0</v>
      </c>
      <c r="B2335" s="1" t="s">
        <v>1</v>
      </c>
      <c r="C2335" s="1" t="s">
        <v>2</v>
      </c>
      <c r="D2335" s="1" t="s">
        <v>3</v>
      </c>
      <c r="E2335" s="1" t="s">
        <v>4</v>
      </c>
      <c r="F2335" s="2" t="s">
        <v>5</v>
      </c>
      <c r="G2335" s="3" t="s">
        <v>6</v>
      </c>
      <c r="H2335" s="3" t="s">
        <v>7</v>
      </c>
      <c r="I2335" s="4" t="s">
        <v>8</v>
      </c>
      <c r="J2335" s="2" t="s">
        <v>9</v>
      </c>
      <c r="K2335" s="3" t="s">
        <v>10</v>
      </c>
      <c r="L2335" s="2" t="s">
        <v>9</v>
      </c>
    </row>
    <row r="2336" spans="1:12" x14ac:dyDescent="0.25">
      <c r="A2336" s="5">
        <v>46003</v>
      </c>
      <c r="B2336" t="s">
        <v>1196</v>
      </c>
      <c r="C2336" t="s">
        <v>1197</v>
      </c>
      <c r="D2336" t="s">
        <v>25</v>
      </c>
      <c r="E2336">
        <v>2021</v>
      </c>
      <c r="F2336" s="6">
        <v>35869</v>
      </c>
      <c r="G2336" t="s">
        <v>1198</v>
      </c>
      <c r="H2336">
        <v>3246818639</v>
      </c>
      <c r="I2336" t="s">
        <v>70</v>
      </c>
    </row>
    <row r="2337" spans="1:12" x14ac:dyDescent="0.25">
      <c r="I2337" t="s">
        <v>1199</v>
      </c>
    </row>
    <row r="2338" spans="1:12" x14ac:dyDescent="0.25">
      <c r="I2338" t="s">
        <v>1200</v>
      </c>
    </row>
    <row r="2339" spans="1:12" x14ac:dyDescent="0.25">
      <c r="I2339" t="s">
        <v>21</v>
      </c>
    </row>
    <row r="2341" spans="1:12" x14ac:dyDescent="0.25">
      <c r="I2341" t="s">
        <v>22</v>
      </c>
    </row>
    <row r="2343" spans="1:12" x14ac:dyDescent="0.25">
      <c r="A2343" s="1" t="s">
        <v>0</v>
      </c>
      <c r="B2343" s="1" t="s">
        <v>1</v>
      </c>
      <c r="C2343" s="1" t="s">
        <v>2</v>
      </c>
      <c r="D2343" s="1" t="s">
        <v>3</v>
      </c>
      <c r="E2343" s="1" t="s">
        <v>4</v>
      </c>
      <c r="F2343" s="2" t="s">
        <v>5</v>
      </c>
      <c r="G2343" s="3" t="s">
        <v>6</v>
      </c>
      <c r="H2343" s="3" t="s">
        <v>7</v>
      </c>
      <c r="I2343" s="4" t="s">
        <v>8</v>
      </c>
      <c r="J2343" s="2" t="s">
        <v>9</v>
      </c>
      <c r="K2343" s="3" t="s">
        <v>10</v>
      </c>
      <c r="L2343" s="2" t="s">
        <v>9</v>
      </c>
    </row>
    <row r="2344" spans="1:12" x14ac:dyDescent="0.25">
      <c r="A2344" s="5">
        <v>46003</v>
      </c>
      <c r="B2344" t="s">
        <v>136</v>
      </c>
      <c r="C2344" t="s">
        <v>1019</v>
      </c>
      <c r="E2344">
        <v>2024</v>
      </c>
      <c r="F2344" s="6">
        <v>7369</v>
      </c>
      <c r="G2344" t="s">
        <v>1202</v>
      </c>
      <c r="H2344">
        <v>3243356108</v>
      </c>
      <c r="I2344" t="s">
        <v>34</v>
      </c>
    </row>
    <row r="2345" spans="1:12" x14ac:dyDescent="0.25">
      <c r="I2345" t="s">
        <v>1203</v>
      </c>
    </row>
    <row r="2346" spans="1:12" x14ac:dyDescent="0.25">
      <c r="I2346" t="s">
        <v>70</v>
      </c>
    </row>
    <row r="2348" spans="1:12" x14ac:dyDescent="0.25">
      <c r="I2348" t="s">
        <v>22</v>
      </c>
    </row>
    <row r="2350" spans="1:12" x14ac:dyDescent="0.25">
      <c r="A2350" s="1" t="s">
        <v>0</v>
      </c>
      <c r="B2350" s="1" t="s">
        <v>1</v>
      </c>
      <c r="C2350" s="1" t="s">
        <v>2</v>
      </c>
      <c r="D2350" s="1" t="s">
        <v>3</v>
      </c>
      <c r="E2350" s="1" t="s">
        <v>4</v>
      </c>
      <c r="F2350" s="2" t="s">
        <v>5</v>
      </c>
      <c r="G2350" s="3" t="s">
        <v>6</v>
      </c>
      <c r="H2350" s="3" t="s">
        <v>7</v>
      </c>
      <c r="I2350" s="4" t="s">
        <v>8</v>
      </c>
      <c r="J2350" s="2" t="s">
        <v>9</v>
      </c>
      <c r="K2350" s="3" t="s">
        <v>10</v>
      </c>
      <c r="L2350" s="2" t="s">
        <v>9</v>
      </c>
    </row>
    <row r="2351" spans="1:12" x14ac:dyDescent="0.25">
      <c r="A2351" s="5">
        <v>46004</v>
      </c>
      <c r="B2351" t="s">
        <v>477</v>
      </c>
      <c r="C2351" t="s">
        <v>1023</v>
      </c>
      <c r="F2351" s="6">
        <v>65824</v>
      </c>
      <c r="G2351" t="s">
        <v>1024</v>
      </c>
      <c r="I2351" t="s">
        <v>70</v>
      </c>
      <c r="J2351" s="6">
        <v>350000</v>
      </c>
    </row>
    <row r="2352" spans="1:12" x14ac:dyDescent="0.25">
      <c r="I2352" t="s">
        <v>34</v>
      </c>
      <c r="J2352" s="6">
        <v>156000</v>
      </c>
    </row>
    <row r="2353" spans="1:12" x14ac:dyDescent="0.25">
      <c r="I2353" t="s">
        <v>19</v>
      </c>
      <c r="J2353" s="6">
        <v>75000</v>
      </c>
    </row>
    <row r="2354" spans="1:12" x14ac:dyDescent="0.25">
      <c r="I2354" t="s">
        <v>21</v>
      </c>
      <c r="J2354" s="6">
        <v>25000</v>
      </c>
    </row>
    <row r="2355" spans="1:12" x14ac:dyDescent="0.25">
      <c r="I2355" t="s">
        <v>1025</v>
      </c>
      <c r="J2355" s="6">
        <v>180000</v>
      </c>
    </row>
    <row r="2357" spans="1:12" x14ac:dyDescent="0.25">
      <c r="I2357" t="s">
        <v>22</v>
      </c>
      <c r="J2357" s="6">
        <f>SUM(J2351:J2356)</f>
        <v>786000</v>
      </c>
    </row>
    <row r="2359" spans="1:12" x14ac:dyDescent="0.25">
      <c r="A2359" s="1" t="s">
        <v>0</v>
      </c>
      <c r="B2359" s="1" t="s">
        <v>1</v>
      </c>
      <c r="C2359" s="1" t="s">
        <v>2</v>
      </c>
      <c r="D2359" s="1" t="s">
        <v>3</v>
      </c>
      <c r="E2359" s="1" t="s">
        <v>4</v>
      </c>
      <c r="F2359" s="2" t="s">
        <v>5</v>
      </c>
      <c r="G2359" s="3" t="s">
        <v>6</v>
      </c>
      <c r="H2359" s="3" t="s">
        <v>7</v>
      </c>
      <c r="I2359" s="4" t="s">
        <v>8</v>
      </c>
      <c r="J2359" s="2" t="s">
        <v>9</v>
      </c>
      <c r="K2359" s="3" t="s">
        <v>10</v>
      </c>
      <c r="L2359" s="2" t="s">
        <v>9</v>
      </c>
    </row>
    <row r="2360" spans="1:12" x14ac:dyDescent="0.25">
      <c r="A2360" s="5">
        <v>46004</v>
      </c>
      <c r="B2360" t="s">
        <v>31</v>
      </c>
      <c r="C2360" t="s">
        <v>1026</v>
      </c>
      <c r="F2360" s="6">
        <v>61200</v>
      </c>
      <c r="G2360" t="s">
        <v>1027</v>
      </c>
      <c r="I2360" t="s">
        <v>1028</v>
      </c>
      <c r="J2360" s="6">
        <v>120000</v>
      </c>
    </row>
    <row r="2361" spans="1:12" x14ac:dyDescent="0.25">
      <c r="I2361" t="s">
        <v>361</v>
      </c>
      <c r="J2361" s="6">
        <v>98000</v>
      </c>
    </row>
    <row r="2362" spans="1:12" x14ac:dyDescent="0.25">
      <c r="I2362" t="s">
        <v>659</v>
      </c>
      <c r="J2362" s="6">
        <v>40000</v>
      </c>
    </row>
    <row r="2363" spans="1:12" x14ac:dyDescent="0.25">
      <c r="I2363" t="s">
        <v>1029</v>
      </c>
      <c r="J2363" s="6">
        <v>150000</v>
      </c>
    </row>
    <row r="2365" spans="1:12" x14ac:dyDescent="0.25">
      <c r="I2365" t="s">
        <v>22</v>
      </c>
      <c r="J2365" s="6">
        <f>SUM(J2360:J2364)</f>
        <v>408000</v>
      </c>
    </row>
    <row r="2373" spans="1:12" x14ac:dyDescent="0.25">
      <c r="A2373" s="1" t="s">
        <v>0</v>
      </c>
      <c r="B2373" s="1" t="s">
        <v>1</v>
      </c>
      <c r="C2373" s="1" t="s">
        <v>2</v>
      </c>
      <c r="D2373" s="1" t="s">
        <v>3</v>
      </c>
      <c r="E2373" s="1" t="s">
        <v>4</v>
      </c>
      <c r="F2373" s="2" t="s">
        <v>5</v>
      </c>
      <c r="G2373" s="3" t="s">
        <v>6</v>
      </c>
      <c r="H2373" s="3" t="s">
        <v>7</v>
      </c>
      <c r="I2373" s="4" t="s">
        <v>8</v>
      </c>
      <c r="J2373" s="2" t="s">
        <v>9</v>
      </c>
      <c r="K2373" s="3" t="s">
        <v>10</v>
      </c>
      <c r="L2373" s="2" t="s">
        <v>9</v>
      </c>
    </row>
    <row r="2374" spans="1:12" x14ac:dyDescent="0.25">
      <c r="A2374" s="5">
        <v>46006</v>
      </c>
      <c r="B2374" t="s">
        <v>1035</v>
      </c>
      <c r="C2374" t="s">
        <v>680</v>
      </c>
      <c r="D2374" t="s">
        <v>55</v>
      </c>
      <c r="F2374" s="6">
        <v>62972</v>
      </c>
      <c r="I2374" t="s">
        <v>1036</v>
      </c>
      <c r="J2374" s="6">
        <v>780000</v>
      </c>
    </row>
    <row r="2375" spans="1:12" x14ac:dyDescent="0.25">
      <c r="I2375" t="s">
        <v>658</v>
      </c>
      <c r="J2375" s="6">
        <v>700000</v>
      </c>
    </row>
    <row r="2376" spans="1:12" x14ac:dyDescent="0.25">
      <c r="I2376" t="s">
        <v>198</v>
      </c>
      <c r="J2376" s="6">
        <v>160000</v>
      </c>
    </row>
    <row r="2377" spans="1:12" x14ac:dyDescent="0.25">
      <c r="I2377" t="s">
        <v>1037</v>
      </c>
      <c r="J2377" s="6">
        <v>55000</v>
      </c>
    </row>
    <row r="2378" spans="1:12" x14ac:dyDescent="0.25">
      <c r="I2378" t="s">
        <v>1038</v>
      </c>
      <c r="J2378" s="6">
        <v>40000</v>
      </c>
    </row>
    <row r="2380" spans="1:12" x14ac:dyDescent="0.25">
      <c r="I2380" t="s">
        <v>22</v>
      </c>
      <c r="J2380" s="6">
        <f>SUM(J2374:J2379)</f>
        <v>1735000</v>
      </c>
    </row>
    <row r="2382" spans="1:12" x14ac:dyDescent="0.25">
      <c r="A2382" s="1" t="s">
        <v>0</v>
      </c>
      <c r="B2382" s="1" t="s">
        <v>1</v>
      </c>
      <c r="C2382" s="1" t="s">
        <v>2</v>
      </c>
      <c r="D2382" s="1" t="s">
        <v>3</v>
      </c>
      <c r="E2382" s="1" t="s">
        <v>4</v>
      </c>
      <c r="F2382" s="2" t="s">
        <v>5</v>
      </c>
      <c r="G2382" s="3" t="s">
        <v>6</v>
      </c>
      <c r="H2382" s="3" t="s">
        <v>7</v>
      </c>
      <c r="I2382" s="4" t="s">
        <v>8</v>
      </c>
      <c r="J2382" s="2" t="s">
        <v>9</v>
      </c>
      <c r="K2382" s="3" t="s">
        <v>10</v>
      </c>
      <c r="L2382" s="2" t="s">
        <v>9</v>
      </c>
    </row>
    <row r="2383" spans="1:12" x14ac:dyDescent="0.25">
      <c r="A2383" s="5">
        <v>46006</v>
      </c>
      <c r="B2383" t="s">
        <v>653</v>
      </c>
      <c r="C2383" t="s">
        <v>1039</v>
      </c>
      <c r="F2383" s="6">
        <v>69965</v>
      </c>
      <c r="G2383" t="s">
        <v>1040</v>
      </c>
      <c r="I2383" t="s">
        <v>743</v>
      </c>
      <c r="J2383" s="6">
        <v>160000</v>
      </c>
    </row>
    <row r="2384" spans="1:12" x14ac:dyDescent="0.25">
      <c r="I2384" t="s">
        <v>1041</v>
      </c>
      <c r="J2384" s="6">
        <v>60000</v>
      </c>
    </row>
    <row r="2385" spans="1:12" x14ac:dyDescent="0.25">
      <c r="I2385" t="s">
        <v>1042</v>
      </c>
      <c r="J2385" s="6">
        <v>10000</v>
      </c>
    </row>
    <row r="2386" spans="1:12" x14ac:dyDescent="0.25">
      <c r="I2386" t="s">
        <v>21</v>
      </c>
      <c r="J2386" s="6">
        <v>25000</v>
      </c>
    </row>
    <row r="2387" spans="1:12" x14ac:dyDescent="0.25">
      <c r="I2387" t="s">
        <v>382</v>
      </c>
      <c r="J2387" s="6">
        <v>80000</v>
      </c>
    </row>
    <row r="2388" spans="1:12" x14ac:dyDescent="0.25">
      <c r="I2388" t="s">
        <v>1043</v>
      </c>
      <c r="J2388" s="6">
        <v>40000</v>
      </c>
    </row>
    <row r="2389" spans="1:12" x14ac:dyDescent="0.25">
      <c r="I2389" t="s">
        <v>146</v>
      </c>
      <c r="J2389" s="6">
        <v>35000</v>
      </c>
    </row>
    <row r="2391" spans="1:12" x14ac:dyDescent="0.25">
      <c r="I2391" t="s">
        <v>22</v>
      </c>
      <c r="J2391" s="6">
        <f>SUM(J2383:J2390)</f>
        <v>410000</v>
      </c>
    </row>
    <row r="2393" spans="1:12" x14ac:dyDescent="0.25">
      <c r="A2393" s="1" t="s">
        <v>0</v>
      </c>
      <c r="B2393" s="1" t="s">
        <v>1</v>
      </c>
      <c r="C2393" s="1" t="s">
        <v>2</v>
      </c>
      <c r="D2393" s="1" t="s">
        <v>3</v>
      </c>
      <c r="E2393" s="1" t="s">
        <v>4</v>
      </c>
      <c r="F2393" s="2" t="s">
        <v>5</v>
      </c>
      <c r="G2393" s="3" t="s">
        <v>6</v>
      </c>
      <c r="H2393" s="3" t="s">
        <v>7</v>
      </c>
      <c r="I2393" s="4" t="s">
        <v>8</v>
      </c>
      <c r="J2393" s="2" t="s">
        <v>9</v>
      </c>
      <c r="K2393" s="3" t="s">
        <v>10</v>
      </c>
      <c r="L2393" s="2" t="s">
        <v>9</v>
      </c>
    </row>
    <row r="2394" spans="1:12" x14ac:dyDescent="0.25">
      <c r="A2394" s="5">
        <v>46006</v>
      </c>
      <c r="B2394" t="s">
        <v>31</v>
      </c>
      <c r="C2394" t="s">
        <v>976</v>
      </c>
      <c r="D2394" t="s">
        <v>12</v>
      </c>
      <c r="E2394">
        <v>2017</v>
      </c>
      <c r="F2394" s="6">
        <v>70347</v>
      </c>
      <c r="G2394" t="s">
        <v>1147</v>
      </c>
      <c r="H2394">
        <v>3125382469</v>
      </c>
      <c r="I2394" t="s">
        <v>977</v>
      </c>
      <c r="J2394" s="6">
        <v>340000</v>
      </c>
    </row>
    <row r="2395" spans="1:12" x14ac:dyDescent="0.25">
      <c r="I2395" t="s">
        <v>224</v>
      </c>
      <c r="J2395" s="6">
        <v>360000</v>
      </c>
    </row>
    <row r="2396" spans="1:12" x14ac:dyDescent="0.25">
      <c r="I2396" t="s">
        <v>978</v>
      </c>
      <c r="J2396" s="6">
        <v>180000</v>
      </c>
    </row>
    <row r="2397" spans="1:12" x14ac:dyDescent="0.25">
      <c r="I2397" t="s">
        <v>979</v>
      </c>
      <c r="J2397" s="6">
        <v>40000</v>
      </c>
    </row>
    <row r="2399" spans="1:12" x14ac:dyDescent="0.25">
      <c r="I2399" t="s">
        <v>22</v>
      </c>
      <c r="J2399" s="6">
        <f>SUM(J2394:J2398)</f>
        <v>920000</v>
      </c>
    </row>
    <row r="2401" spans="1:12" x14ac:dyDescent="0.25">
      <c r="A2401" s="1" t="s">
        <v>0</v>
      </c>
      <c r="B2401" s="1" t="s">
        <v>1</v>
      </c>
      <c r="C2401" s="1" t="s">
        <v>2</v>
      </c>
      <c r="D2401" s="1" t="s">
        <v>3</v>
      </c>
      <c r="E2401" s="1" t="s">
        <v>4</v>
      </c>
      <c r="F2401" s="2" t="s">
        <v>5</v>
      </c>
      <c r="G2401" s="3" t="s">
        <v>6</v>
      </c>
      <c r="H2401" s="3" t="s">
        <v>7</v>
      </c>
      <c r="I2401" s="4" t="s">
        <v>8</v>
      </c>
      <c r="J2401" s="2" t="s">
        <v>9</v>
      </c>
      <c r="K2401" s="3" t="s">
        <v>10</v>
      </c>
      <c r="L2401" s="2" t="s">
        <v>9</v>
      </c>
    </row>
    <row r="2402" spans="1:12" x14ac:dyDescent="0.25">
      <c r="A2402" s="5">
        <v>46006</v>
      </c>
      <c r="B2402" t="s">
        <v>31</v>
      </c>
      <c r="C2402" t="s">
        <v>152</v>
      </c>
      <c r="D2402" t="s">
        <v>12</v>
      </c>
      <c r="E2402">
        <v>2011</v>
      </c>
      <c r="F2402" s="6">
        <v>134728</v>
      </c>
      <c r="G2402" t="s">
        <v>840</v>
      </c>
      <c r="I2402" t="s">
        <v>980</v>
      </c>
      <c r="J2402" s="6">
        <v>40000</v>
      </c>
    </row>
    <row r="2403" spans="1:12" x14ac:dyDescent="0.25">
      <c r="I2403" t="s">
        <v>198</v>
      </c>
      <c r="J2403" s="6">
        <v>240000</v>
      </c>
    </row>
    <row r="2404" spans="1:12" x14ac:dyDescent="0.25">
      <c r="I2404" t="s">
        <v>981</v>
      </c>
      <c r="J2404" s="6">
        <v>50000</v>
      </c>
    </row>
    <row r="2406" spans="1:12" x14ac:dyDescent="0.25">
      <c r="I2406" t="s">
        <v>22</v>
      </c>
      <c r="J2406" s="6">
        <f>SUM(J2402:J2405)</f>
        <v>330000</v>
      </c>
    </row>
    <row r="2408" spans="1:12" x14ac:dyDescent="0.25">
      <c r="A2408" s="1" t="s">
        <v>0</v>
      </c>
      <c r="B2408" s="1" t="s">
        <v>1</v>
      </c>
      <c r="C2408" s="1" t="s">
        <v>2</v>
      </c>
      <c r="D2408" s="1" t="s">
        <v>3</v>
      </c>
      <c r="E2408" s="1" t="s">
        <v>4</v>
      </c>
      <c r="F2408" s="2" t="s">
        <v>5</v>
      </c>
      <c r="G2408" s="3" t="s">
        <v>6</v>
      </c>
      <c r="H2408" s="3" t="s">
        <v>7</v>
      </c>
      <c r="I2408" s="4" t="s">
        <v>8</v>
      </c>
      <c r="J2408" s="2" t="s">
        <v>9</v>
      </c>
      <c r="K2408" s="3" t="s">
        <v>10</v>
      </c>
      <c r="L2408" s="2" t="s">
        <v>9</v>
      </c>
    </row>
    <row r="2409" spans="1:12" x14ac:dyDescent="0.25">
      <c r="A2409" s="5">
        <v>46006</v>
      </c>
      <c r="B2409" t="s">
        <v>31</v>
      </c>
      <c r="C2409" t="s">
        <v>885</v>
      </c>
      <c r="D2409" t="s">
        <v>12</v>
      </c>
      <c r="F2409" s="6">
        <v>149946</v>
      </c>
      <c r="G2409" t="s">
        <v>982</v>
      </c>
      <c r="I2409" t="s">
        <v>61</v>
      </c>
      <c r="J2409" s="6">
        <v>80000</v>
      </c>
    </row>
    <row r="2410" spans="1:12" x14ac:dyDescent="0.25">
      <c r="I2410" t="s">
        <v>75</v>
      </c>
      <c r="J2410" s="6">
        <v>305000</v>
      </c>
    </row>
    <row r="2411" spans="1:12" x14ac:dyDescent="0.25">
      <c r="I2411" t="s">
        <v>712</v>
      </c>
      <c r="J2411" s="6">
        <v>200000</v>
      </c>
    </row>
    <row r="2413" spans="1:12" x14ac:dyDescent="0.25">
      <c r="I2413" t="s">
        <v>22</v>
      </c>
      <c r="J2413" s="6">
        <f>SUM(J2409:J2412)</f>
        <v>585000</v>
      </c>
    </row>
    <row r="2415" spans="1:12" x14ac:dyDescent="0.25">
      <c r="A2415" s="1" t="s">
        <v>0</v>
      </c>
      <c r="B2415" s="1" t="s">
        <v>1</v>
      </c>
      <c r="C2415" s="1" t="s">
        <v>2</v>
      </c>
      <c r="D2415" s="1" t="s">
        <v>3</v>
      </c>
      <c r="E2415" s="1" t="s">
        <v>4</v>
      </c>
      <c r="F2415" s="2" t="s">
        <v>5</v>
      </c>
      <c r="G2415" s="3" t="s">
        <v>6</v>
      </c>
      <c r="H2415" s="3" t="s">
        <v>7</v>
      </c>
      <c r="I2415" s="4" t="s">
        <v>8</v>
      </c>
      <c r="J2415" s="2" t="s">
        <v>9</v>
      </c>
      <c r="K2415" s="3" t="s">
        <v>10</v>
      </c>
      <c r="L2415" s="2" t="s">
        <v>9</v>
      </c>
    </row>
    <row r="2416" spans="1:12" x14ac:dyDescent="0.25">
      <c r="A2416" s="5">
        <v>46006</v>
      </c>
      <c r="B2416" t="s">
        <v>110</v>
      </c>
      <c r="C2416" t="s">
        <v>937</v>
      </c>
      <c r="D2416" t="s">
        <v>12</v>
      </c>
      <c r="F2416" s="6">
        <v>72473</v>
      </c>
      <c r="G2416" t="s">
        <v>223</v>
      </c>
      <c r="I2416" t="s">
        <v>70</v>
      </c>
      <c r="J2416" s="6">
        <v>350000</v>
      </c>
    </row>
    <row r="2417" spans="1:12" x14ac:dyDescent="0.25">
      <c r="I2417" t="s">
        <v>278</v>
      </c>
      <c r="J2417" s="6">
        <v>160000</v>
      </c>
    </row>
    <row r="2419" spans="1:12" x14ac:dyDescent="0.25">
      <c r="I2419" t="s">
        <v>22</v>
      </c>
      <c r="J2419" s="6">
        <f>SUM(J2416:J2418)</f>
        <v>510000</v>
      </c>
    </row>
    <row r="2421" spans="1:12" x14ac:dyDescent="0.25">
      <c r="A2421" s="1" t="s">
        <v>0</v>
      </c>
      <c r="B2421" s="1" t="s">
        <v>1</v>
      </c>
      <c r="C2421" s="1" t="s">
        <v>2</v>
      </c>
      <c r="D2421" s="1" t="s">
        <v>3</v>
      </c>
      <c r="E2421" s="1" t="s">
        <v>4</v>
      </c>
      <c r="F2421" s="2" t="s">
        <v>5</v>
      </c>
      <c r="G2421" s="3" t="s">
        <v>6</v>
      </c>
      <c r="H2421" s="3" t="s">
        <v>7</v>
      </c>
      <c r="I2421" s="4" t="s">
        <v>8</v>
      </c>
      <c r="J2421" s="2" t="s">
        <v>9</v>
      </c>
      <c r="K2421" s="3" t="s">
        <v>10</v>
      </c>
      <c r="L2421" s="2" t="s">
        <v>9</v>
      </c>
    </row>
    <row r="2422" spans="1:12" x14ac:dyDescent="0.25">
      <c r="A2422" s="5">
        <v>46006</v>
      </c>
      <c r="B2422" t="s">
        <v>232</v>
      </c>
      <c r="C2422" t="s">
        <v>1174</v>
      </c>
      <c r="D2422" t="s">
        <v>138</v>
      </c>
      <c r="G2422" t="s">
        <v>1175</v>
      </c>
      <c r="H2422">
        <v>3007287838</v>
      </c>
      <c r="I2422" t="s">
        <v>1176</v>
      </c>
    </row>
    <row r="2423" spans="1:12" x14ac:dyDescent="0.25">
      <c r="I2423" t="s">
        <v>1177</v>
      </c>
    </row>
    <row r="2425" spans="1:12" x14ac:dyDescent="0.25">
      <c r="I2425" t="s">
        <v>22</v>
      </c>
    </row>
    <row r="2427" spans="1:12" x14ac:dyDescent="0.25">
      <c r="A2427" s="1" t="s">
        <v>0</v>
      </c>
      <c r="B2427" s="1" t="s">
        <v>1</v>
      </c>
      <c r="C2427" s="1" t="s">
        <v>2</v>
      </c>
      <c r="D2427" s="1" t="s">
        <v>3</v>
      </c>
      <c r="E2427" s="1" t="s">
        <v>4</v>
      </c>
      <c r="F2427" s="2" t="s">
        <v>5</v>
      </c>
      <c r="G2427" s="3" t="s">
        <v>6</v>
      </c>
      <c r="H2427" s="3" t="s">
        <v>7</v>
      </c>
      <c r="I2427" s="4" t="s">
        <v>8</v>
      </c>
      <c r="J2427" s="2" t="s">
        <v>9</v>
      </c>
      <c r="K2427" s="3" t="s">
        <v>10</v>
      </c>
      <c r="L2427" s="2" t="s">
        <v>9</v>
      </c>
    </row>
    <row r="2428" spans="1:12" x14ac:dyDescent="0.25">
      <c r="A2428" s="5">
        <v>46007</v>
      </c>
      <c r="B2428" t="s">
        <v>232</v>
      </c>
      <c r="C2428" t="s">
        <v>1044</v>
      </c>
      <c r="E2428">
        <v>2023</v>
      </c>
      <c r="F2428" s="6">
        <v>28067</v>
      </c>
      <c r="G2428" t="s">
        <v>1144</v>
      </c>
      <c r="H2428">
        <v>3003093867</v>
      </c>
      <c r="I2428" t="s">
        <v>70</v>
      </c>
      <c r="J2428" s="6">
        <v>350000</v>
      </c>
    </row>
    <row r="2429" spans="1:12" x14ac:dyDescent="0.25">
      <c r="I2429" t="s">
        <v>34</v>
      </c>
      <c r="J2429" s="6">
        <v>130000</v>
      </c>
    </row>
    <row r="2430" spans="1:12" x14ac:dyDescent="0.25">
      <c r="I2430" t="s">
        <v>349</v>
      </c>
      <c r="J2430" s="6">
        <v>70000</v>
      </c>
    </row>
    <row r="2431" spans="1:12" x14ac:dyDescent="0.25">
      <c r="I2431" t="s">
        <v>107</v>
      </c>
      <c r="J2431" s="6">
        <v>78000</v>
      </c>
    </row>
    <row r="2432" spans="1:12" x14ac:dyDescent="0.25">
      <c r="I2432" t="s">
        <v>21</v>
      </c>
      <c r="J2432" s="6">
        <v>25000</v>
      </c>
    </row>
    <row r="2434" spans="1:12" x14ac:dyDescent="0.25">
      <c r="I2434" t="s">
        <v>22</v>
      </c>
      <c r="J2434" s="6">
        <f>SUM(J2428:J2433)</f>
        <v>653000</v>
      </c>
    </row>
    <row r="2436" spans="1:12" x14ac:dyDescent="0.25">
      <c r="A2436" s="1" t="s">
        <v>0</v>
      </c>
      <c r="B2436" s="1" t="s">
        <v>1</v>
      </c>
      <c r="C2436" s="1" t="s">
        <v>2</v>
      </c>
      <c r="D2436" s="1" t="s">
        <v>3</v>
      </c>
      <c r="E2436" s="1" t="s">
        <v>4</v>
      </c>
      <c r="F2436" s="2" t="s">
        <v>5</v>
      </c>
      <c r="G2436" s="3" t="s">
        <v>6</v>
      </c>
      <c r="H2436" s="3" t="s">
        <v>7</v>
      </c>
      <c r="I2436" s="4" t="s">
        <v>8</v>
      </c>
      <c r="J2436" s="2" t="s">
        <v>9</v>
      </c>
      <c r="K2436" s="3" t="s">
        <v>10</v>
      </c>
      <c r="L2436" s="2" t="s">
        <v>9</v>
      </c>
    </row>
    <row r="2437" spans="1:12" x14ac:dyDescent="0.25">
      <c r="A2437" s="5">
        <v>46007</v>
      </c>
      <c r="B2437" t="s">
        <v>1167</v>
      </c>
      <c r="C2437" t="s">
        <v>1168</v>
      </c>
      <c r="D2437" t="s">
        <v>498</v>
      </c>
      <c r="G2437" t="s">
        <v>1169</v>
      </c>
      <c r="H2437">
        <v>3114762429</v>
      </c>
      <c r="I2437" t="s">
        <v>188</v>
      </c>
    </row>
    <row r="2438" spans="1:12" x14ac:dyDescent="0.25">
      <c r="I2438" t="s">
        <v>50</v>
      </c>
      <c r="J2438" s="6">
        <v>120000</v>
      </c>
    </row>
    <row r="2439" spans="1:12" x14ac:dyDescent="0.25">
      <c r="I2439" t="s">
        <v>21</v>
      </c>
      <c r="J2439" s="6">
        <v>25000</v>
      </c>
    </row>
    <row r="2441" spans="1:12" x14ac:dyDescent="0.25">
      <c r="I2441" t="s">
        <v>22</v>
      </c>
      <c r="J2441" s="6">
        <f>SUM(J2437:J2440)</f>
        <v>145000</v>
      </c>
    </row>
    <row r="2443" spans="1:12" x14ac:dyDescent="0.25">
      <c r="A2443" s="1" t="s">
        <v>0</v>
      </c>
      <c r="B2443" s="1" t="s">
        <v>1</v>
      </c>
      <c r="C2443" s="1" t="s">
        <v>2</v>
      </c>
      <c r="D2443" s="1" t="s">
        <v>3</v>
      </c>
      <c r="E2443" s="1" t="s">
        <v>4</v>
      </c>
      <c r="F2443" s="2" t="s">
        <v>5</v>
      </c>
      <c r="G2443" s="3" t="s">
        <v>6</v>
      </c>
      <c r="H2443" s="3" t="s">
        <v>7</v>
      </c>
      <c r="I2443" s="4" t="s">
        <v>8</v>
      </c>
      <c r="J2443" s="2" t="s">
        <v>9</v>
      </c>
      <c r="K2443" s="3" t="s">
        <v>10</v>
      </c>
      <c r="L2443" s="2" t="s">
        <v>9</v>
      </c>
    </row>
    <row r="2444" spans="1:12" x14ac:dyDescent="0.25">
      <c r="A2444" s="5">
        <v>46008</v>
      </c>
      <c r="B2444" t="s">
        <v>31</v>
      </c>
      <c r="C2444" t="s">
        <v>1045</v>
      </c>
      <c r="D2444" t="s">
        <v>45</v>
      </c>
      <c r="F2444" s="6">
        <v>87237</v>
      </c>
      <c r="G2444" t="s">
        <v>1047</v>
      </c>
      <c r="H2444">
        <v>3242548090</v>
      </c>
      <c r="I2444" t="s">
        <v>103</v>
      </c>
      <c r="J2444" s="6">
        <v>800000</v>
      </c>
    </row>
    <row r="2445" spans="1:12" x14ac:dyDescent="0.25">
      <c r="C2445" t="s">
        <v>1046</v>
      </c>
      <c r="I2445" t="s">
        <v>21</v>
      </c>
      <c r="J2445" s="6">
        <v>25000</v>
      </c>
    </row>
    <row r="2446" spans="1:12" x14ac:dyDescent="0.25">
      <c r="I2446" t="s">
        <v>1048</v>
      </c>
      <c r="J2446" s="6">
        <v>40000</v>
      </c>
    </row>
    <row r="2447" spans="1:12" x14ac:dyDescent="0.25">
      <c r="I2447" t="s">
        <v>1049</v>
      </c>
      <c r="J2447" s="6">
        <v>50000</v>
      </c>
    </row>
    <row r="2449" spans="1:12" x14ac:dyDescent="0.25">
      <c r="I2449" t="s">
        <v>22</v>
      </c>
      <c r="J2449" s="6">
        <f>SUM(J2444:J2448)</f>
        <v>915000</v>
      </c>
    </row>
    <row r="2451" spans="1:12" x14ac:dyDescent="0.25">
      <c r="A2451" s="1" t="s">
        <v>0</v>
      </c>
      <c r="B2451" s="1" t="s">
        <v>1</v>
      </c>
      <c r="C2451" s="1" t="s">
        <v>2</v>
      </c>
      <c r="D2451" s="1" t="s">
        <v>3</v>
      </c>
      <c r="E2451" s="1" t="s">
        <v>4</v>
      </c>
      <c r="F2451" s="2" t="s">
        <v>5</v>
      </c>
      <c r="G2451" s="3" t="s">
        <v>6</v>
      </c>
      <c r="H2451" s="3" t="s">
        <v>7</v>
      </c>
      <c r="I2451" s="4" t="s">
        <v>8</v>
      </c>
      <c r="J2451" s="2" t="s">
        <v>9</v>
      </c>
      <c r="K2451" s="3" t="s">
        <v>10</v>
      </c>
      <c r="L2451" s="2" t="s">
        <v>9</v>
      </c>
    </row>
    <row r="2452" spans="1:12" x14ac:dyDescent="0.25">
      <c r="A2452" s="5">
        <v>46008</v>
      </c>
      <c r="B2452" t="s">
        <v>396</v>
      </c>
      <c r="C2452" t="s">
        <v>397</v>
      </c>
      <c r="D2452" t="s">
        <v>227</v>
      </c>
      <c r="G2452" t="s">
        <v>398</v>
      </c>
      <c r="I2452" t="s">
        <v>70</v>
      </c>
    </row>
    <row r="2453" spans="1:12" x14ac:dyDescent="0.25">
      <c r="I2453" t="s">
        <v>1050</v>
      </c>
    </row>
    <row r="2455" spans="1:12" x14ac:dyDescent="0.25">
      <c r="I2455" t="s">
        <v>1051</v>
      </c>
    </row>
    <row r="2457" spans="1:12" x14ac:dyDescent="0.25">
      <c r="A2457" s="1" t="s">
        <v>0</v>
      </c>
      <c r="B2457" s="1" t="s">
        <v>1</v>
      </c>
      <c r="C2457" s="1" t="s">
        <v>2</v>
      </c>
      <c r="D2457" s="1" t="s">
        <v>3</v>
      </c>
      <c r="E2457" s="1" t="s">
        <v>4</v>
      </c>
      <c r="F2457" s="2" t="s">
        <v>5</v>
      </c>
      <c r="G2457" s="3" t="s">
        <v>6</v>
      </c>
      <c r="H2457" s="3" t="s">
        <v>7</v>
      </c>
      <c r="I2457" s="4" t="s">
        <v>8</v>
      </c>
      <c r="J2457" s="2" t="s">
        <v>9</v>
      </c>
      <c r="K2457" s="3" t="s">
        <v>10</v>
      </c>
      <c r="L2457" s="2" t="s">
        <v>9</v>
      </c>
    </row>
    <row r="2458" spans="1:12" x14ac:dyDescent="0.25">
      <c r="A2458" s="5">
        <v>46008</v>
      </c>
      <c r="B2458" t="s">
        <v>1052</v>
      </c>
      <c r="C2458" t="s">
        <v>1053</v>
      </c>
      <c r="D2458" t="s">
        <v>55</v>
      </c>
      <c r="E2458">
        <v>2012</v>
      </c>
      <c r="F2458" s="6">
        <v>68313</v>
      </c>
      <c r="G2458" t="s">
        <v>1145</v>
      </c>
      <c r="H2458">
        <v>3203488780</v>
      </c>
      <c r="I2458" t="s">
        <v>1054</v>
      </c>
      <c r="J2458" s="6">
        <v>1400000</v>
      </c>
    </row>
    <row r="2459" spans="1:12" x14ac:dyDescent="0.25">
      <c r="I2459" t="s">
        <v>712</v>
      </c>
      <c r="J2459" s="6">
        <v>180000</v>
      </c>
    </row>
    <row r="2460" spans="1:12" x14ac:dyDescent="0.25">
      <c r="I2460" t="s">
        <v>1055</v>
      </c>
      <c r="J2460" s="6">
        <v>225000</v>
      </c>
    </row>
    <row r="2461" spans="1:12" x14ac:dyDescent="0.25">
      <c r="I2461" t="s">
        <v>1056</v>
      </c>
      <c r="J2461" s="6">
        <v>70000</v>
      </c>
    </row>
    <row r="2462" spans="1:12" x14ac:dyDescent="0.25">
      <c r="I2462" t="s">
        <v>19</v>
      </c>
      <c r="J2462" s="6">
        <v>46000</v>
      </c>
    </row>
    <row r="2464" spans="1:12" x14ac:dyDescent="0.25">
      <c r="I2464" t="s">
        <v>22</v>
      </c>
      <c r="J2464" s="6">
        <f>SUM(J2458:J2463)</f>
        <v>1921000</v>
      </c>
    </row>
    <row r="2466" spans="1:12" x14ac:dyDescent="0.25">
      <c r="A2466" s="1" t="s">
        <v>0</v>
      </c>
      <c r="B2466" s="1" t="s">
        <v>1</v>
      </c>
      <c r="C2466" s="1" t="s">
        <v>2</v>
      </c>
      <c r="D2466" s="1" t="s">
        <v>3</v>
      </c>
      <c r="E2466" s="1" t="s">
        <v>4</v>
      </c>
      <c r="F2466" s="2" t="s">
        <v>5</v>
      </c>
      <c r="G2466" s="3" t="s">
        <v>6</v>
      </c>
      <c r="H2466" s="3" t="s">
        <v>7</v>
      </c>
      <c r="I2466" s="4" t="s">
        <v>8</v>
      </c>
      <c r="J2466" s="2" t="s">
        <v>9</v>
      </c>
      <c r="K2466" s="3" t="s">
        <v>10</v>
      </c>
      <c r="L2466" s="2" t="s">
        <v>9</v>
      </c>
    </row>
    <row r="2467" spans="1:12" x14ac:dyDescent="0.25">
      <c r="A2467" s="5">
        <v>46008</v>
      </c>
      <c r="B2467" t="s">
        <v>1057</v>
      </c>
      <c r="C2467" t="s">
        <v>1058</v>
      </c>
      <c r="D2467" t="s">
        <v>12</v>
      </c>
      <c r="G2467" t="s">
        <v>1059</v>
      </c>
      <c r="I2467" t="s">
        <v>726</v>
      </c>
      <c r="J2467" s="6">
        <v>1600000</v>
      </c>
    </row>
    <row r="2468" spans="1:12" x14ac:dyDescent="0.25">
      <c r="I2468" t="s">
        <v>551</v>
      </c>
      <c r="J2468" s="6">
        <v>240000</v>
      </c>
    </row>
    <row r="2469" spans="1:12" x14ac:dyDescent="0.25">
      <c r="I2469" t="s">
        <v>1060</v>
      </c>
      <c r="J2469" s="6">
        <v>450000</v>
      </c>
    </row>
    <row r="2470" spans="1:12" x14ac:dyDescent="0.25">
      <c r="I2470" t="s">
        <v>1061</v>
      </c>
      <c r="J2470" s="6">
        <v>650000</v>
      </c>
    </row>
    <row r="2471" spans="1:12" x14ac:dyDescent="0.25">
      <c r="I2471" t="s">
        <v>34</v>
      </c>
      <c r="J2471" s="6">
        <v>156000</v>
      </c>
    </row>
    <row r="2472" spans="1:12" x14ac:dyDescent="0.25">
      <c r="I2472" t="s">
        <v>19</v>
      </c>
      <c r="J2472" s="6">
        <v>68000</v>
      </c>
    </row>
    <row r="2473" spans="1:12" x14ac:dyDescent="0.25">
      <c r="I2473" t="s">
        <v>182</v>
      </c>
      <c r="J2473" s="6">
        <v>450000</v>
      </c>
    </row>
    <row r="2474" spans="1:12" x14ac:dyDescent="0.25">
      <c r="I2474" t="s">
        <v>198</v>
      </c>
      <c r="J2474" s="6">
        <v>240000</v>
      </c>
    </row>
    <row r="2475" spans="1:12" x14ac:dyDescent="0.25">
      <c r="I2475" t="s">
        <v>21</v>
      </c>
      <c r="J2475" s="6">
        <v>25000</v>
      </c>
    </row>
    <row r="2476" spans="1:12" x14ac:dyDescent="0.25">
      <c r="I2476" t="s">
        <v>1064</v>
      </c>
      <c r="J2476" s="6">
        <v>15000</v>
      </c>
    </row>
    <row r="2477" spans="1:12" x14ac:dyDescent="0.25">
      <c r="I2477" t="s">
        <v>107</v>
      </c>
      <c r="J2477" s="6">
        <v>130000</v>
      </c>
    </row>
    <row r="2479" spans="1:12" x14ac:dyDescent="0.25">
      <c r="I2479" t="s">
        <v>22</v>
      </c>
      <c r="J2479" s="6">
        <f>SUM(J2467:J2478)</f>
        <v>4024000</v>
      </c>
    </row>
    <row r="2481" spans="1:12" x14ac:dyDescent="0.25">
      <c r="A2481" s="1" t="s">
        <v>0</v>
      </c>
      <c r="B2481" s="1" t="s">
        <v>1</v>
      </c>
      <c r="C2481" s="1" t="s">
        <v>2</v>
      </c>
      <c r="D2481" s="1" t="s">
        <v>3</v>
      </c>
      <c r="E2481" s="1" t="s">
        <v>4</v>
      </c>
      <c r="F2481" s="2" t="s">
        <v>5</v>
      </c>
      <c r="G2481" s="3" t="s">
        <v>6</v>
      </c>
      <c r="H2481" s="3" t="s">
        <v>7</v>
      </c>
      <c r="I2481" s="4" t="s">
        <v>8</v>
      </c>
      <c r="J2481" s="2" t="s">
        <v>9</v>
      </c>
      <c r="K2481" s="3" t="s">
        <v>10</v>
      </c>
      <c r="L2481" s="2" t="s">
        <v>9</v>
      </c>
    </row>
    <row r="2482" spans="1:12" x14ac:dyDescent="0.25">
      <c r="A2482" s="5">
        <v>46009</v>
      </c>
      <c r="B2482" t="s">
        <v>110</v>
      </c>
      <c r="C2482" t="s">
        <v>1062</v>
      </c>
      <c r="D2482" t="s">
        <v>55</v>
      </c>
      <c r="F2482" s="6">
        <v>119329</v>
      </c>
      <c r="G2482" t="s">
        <v>1063</v>
      </c>
      <c r="I2482" t="s">
        <v>34</v>
      </c>
      <c r="J2482" s="6">
        <v>175000</v>
      </c>
    </row>
    <row r="2483" spans="1:12" x14ac:dyDescent="0.25">
      <c r="I2483" t="s">
        <v>19</v>
      </c>
      <c r="J2483" s="6">
        <v>46000</v>
      </c>
    </row>
    <row r="2485" spans="1:12" x14ac:dyDescent="0.25">
      <c r="I2485" t="s">
        <v>22</v>
      </c>
      <c r="J2485" s="6">
        <f>SUM(J2482:J2484)</f>
        <v>221000</v>
      </c>
    </row>
    <row r="2487" spans="1:12" x14ac:dyDescent="0.25">
      <c r="A2487" s="1" t="s">
        <v>0</v>
      </c>
      <c r="B2487" s="1" t="s">
        <v>1</v>
      </c>
      <c r="C2487" s="1" t="s">
        <v>2</v>
      </c>
      <c r="D2487" s="1" t="s">
        <v>3</v>
      </c>
      <c r="E2487" s="1" t="s">
        <v>4</v>
      </c>
      <c r="F2487" s="2" t="s">
        <v>5</v>
      </c>
      <c r="G2487" s="3" t="s">
        <v>6</v>
      </c>
      <c r="H2487" s="3" t="s">
        <v>7</v>
      </c>
      <c r="I2487" s="4" t="s">
        <v>8</v>
      </c>
      <c r="J2487" s="2" t="s">
        <v>9</v>
      </c>
      <c r="K2487" s="3" t="s">
        <v>10</v>
      </c>
      <c r="L2487" s="2" t="s">
        <v>9</v>
      </c>
    </row>
    <row r="2488" spans="1:12" x14ac:dyDescent="0.25">
      <c r="A2488" s="5">
        <v>46010</v>
      </c>
      <c r="B2488" t="s">
        <v>31</v>
      </c>
      <c r="C2488" t="s">
        <v>565</v>
      </c>
      <c r="D2488" t="s">
        <v>45</v>
      </c>
      <c r="G2488" t="s">
        <v>566</v>
      </c>
      <c r="I2488" t="s">
        <v>1065</v>
      </c>
      <c r="J2488" s="6">
        <v>100000</v>
      </c>
    </row>
    <row r="2489" spans="1:12" x14ac:dyDescent="0.25">
      <c r="I2489" t="s">
        <v>1066</v>
      </c>
      <c r="J2489" s="6">
        <v>45000</v>
      </c>
    </row>
    <row r="2490" spans="1:12" x14ac:dyDescent="0.25">
      <c r="I2490" t="s">
        <v>1067</v>
      </c>
      <c r="J2490" s="6">
        <v>20000</v>
      </c>
    </row>
    <row r="2492" spans="1:12" x14ac:dyDescent="0.25">
      <c r="I2492" t="s">
        <v>22</v>
      </c>
      <c r="J2492" s="6">
        <f>SUM(J2488:J2491)</f>
        <v>165000</v>
      </c>
    </row>
    <row r="2494" spans="1:12" x14ac:dyDescent="0.25">
      <c r="A2494" s="1" t="s">
        <v>0</v>
      </c>
      <c r="B2494" s="1" t="s">
        <v>1</v>
      </c>
      <c r="C2494" s="1" t="s">
        <v>2</v>
      </c>
      <c r="D2494" s="1" t="s">
        <v>3</v>
      </c>
      <c r="E2494" s="1" t="s">
        <v>4</v>
      </c>
      <c r="F2494" s="2" t="s">
        <v>5</v>
      </c>
      <c r="G2494" s="3" t="s">
        <v>6</v>
      </c>
      <c r="H2494" s="3" t="s">
        <v>7</v>
      </c>
      <c r="I2494" s="4" t="s">
        <v>8</v>
      </c>
      <c r="J2494" s="2" t="s">
        <v>9</v>
      </c>
      <c r="K2494" s="3" t="s">
        <v>10</v>
      </c>
      <c r="L2494" s="2" t="s">
        <v>9</v>
      </c>
    </row>
    <row r="2495" spans="1:12" x14ac:dyDescent="0.25">
      <c r="A2495" s="5">
        <v>46010</v>
      </c>
      <c r="B2495" t="s">
        <v>1035</v>
      </c>
      <c r="C2495" t="s">
        <v>680</v>
      </c>
      <c r="D2495" t="s">
        <v>55</v>
      </c>
      <c r="G2495" t="s">
        <v>1146</v>
      </c>
      <c r="H2495">
        <v>3123686863</v>
      </c>
      <c r="I2495" t="s">
        <v>959</v>
      </c>
      <c r="J2495" s="6">
        <v>20000</v>
      </c>
    </row>
    <row r="2496" spans="1:12" x14ac:dyDescent="0.25">
      <c r="I2496" t="s">
        <v>61</v>
      </c>
      <c r="J2496" s="6">
        <v>100000</v>
      </c>
    </row>
    <row r="2497" spans="1:12" x14ac:dyDescent="0.25">
      <c r="I2497" t="s">
        <v>484</v>
      </c>
      <c r="J2497" s="6">
        <v>50000</v>
      </c>
    </row>
    <row r="2498" spans="1:12" x14ac:dyDescent="0.25">
      <c r="I2498" t="s">
        <v>16</v>
      </c>
      <c r="J2498" s="6">
        <v>20000</v>
      </c>
    </row>
    <row r="2500" spans="1:12" x14ac:dyDescent="0.25">
      <c r="I2500" t="s">
        <v>22</v>
      </c>
      <c r="J2500" s="6">
        <f>SUM(J2495:J2499)</f>
        <v>190000</v>
      </c>
    </row>
    <row r="2502" spans="1:12" x14ac:dyDescent="0.25">
      <c r="A2502" s="1" t="s">
        <v>0</v>
      </c>
      <c r="B2502" s="1" t="s">
        <v>1</v>
      </c>
      <c r="C2502" s="1" t="s">
        <v>2</v>
      </c>
      <c r="D2502" s="1" t="s">
        <v>3</v>
      </c>
      <c r="E2502" s="1" t="s">
        <v>4</v>
      </c>
      <c r="F2502" s="2" t="s">
        <v>5</v>
      </c>
      <c r="G2502" s="3" t="s">
        <v>6</v>
      </c>
      <c r="H2502" s="3" t="s">
        <v>7</v>
      </c>
      <c r="I2502" s="4" t="s">
        <v>8</v>
      </c>
      <c r="J2502" s="2" t="s">
        <v>9</v>
      </c>
      <c r="K2502" s="3" t="s">
        <v>10</v>
      </c>
      <c r="L2502" s="2" t="s">
        <v>9</v>
      </c>
    </row>
    <row r="2503" spans="1:12" x14ac:dyDescent="0.25">
      <c r="A2503" s="5">
        <v>46010</v>
      </c>
      <c r="B2503" t="s">
        <v>110</v>
      </c>
      <c r="C2503" t="s">
        <v>1068</v>
      </c>
      <c r="D2503" t="s">
        <v>12</v>
      </c>
      <c r="F2503" s="6">
        <v>149521</v>
      </c>
      <c r="G2503" t="s">
        <v>607</v>
      </c>
      <c r="I2503" t="s">
        <v>108</v>
      </c>
      <c r="J2503" s="6">
        <v>40000</v>
      </c>
    </row>
    <row r="2504" spans="1:12" x14ac:dyDescent="0.25">
      <c r="I2504" t="s">
        <v>1069</v>
      </c>
      <c r="J2504" s="6">
        <v>180000</v>
      </c>
    </row>
    <row r="2505" spans="1:12" x14ac:dyDescent="0.25">
      <c r="I2505" t="s">
        <v>743</v>
      </c>
      <c r="J2505" s="6">
        <v>160000</v>
      </c>
    </row>
    <row r="2506" spans="1:12" x14ac:dyDescent="0.25">
      <c r="I2506" t="s">
        <v>146</v>
      </c>
      <c r="J2506" s="6">
        <v>38000</v>
      </c>
    </row>
    <row r="2507" spans="1:12" x14ac:dyDescent="0.25">
      <c r="I2507" t="s">
        <v>1043</v>
      </c>
      <c r="J2507" s="6">
        <v>40000</v>
      </c>
    </row>
    <row r="2508" spans="1:12" x14ac:dyDescent="0.25">
      <c r="I2508" t="s">
        <v>1070</v>
      </c>
      <c r="J2508" s="6">
        <v>749000</v>
      </c>
    </row>
    <row r="2509" spans="1:12" x14ac:dyDescent="0.25">
      <c r="I2509" t="s">
        <v>61</v>
      </c>
      <c r="J2509" s="6">
        <v>160000</v>
      </c>
    </row>
    <row r="2511" spans="1:12" x14ac:dyDescent="0.25">
      <c r="I2511" t="s">
        <v>22</v>
      </c>
      <c r="J2511" s="6">
        <f>SUM(J2503:J2510)</f>
        <v>1367000</v>
      </c>
    </row>
    <row r="2513" spans="1:12" x14ac:dyDescent="0.25">
      <c r="A2513" s="1" t="s">
        <v>0</v>
      </c>
      <c r="B2513" s="1" t="s">
        <v>1</v>
      </c>
      <c r="C2513" s="1" t="s">
        <v>2</v>
      </c>
      <c r="D2513" s="1" t="s">
        <v>3</v>
      </c>
      <c r="E2513" s="1" t="s">
        <v>4</v>
      </c>
      <c r="F2513" s="2" t="s">
        <v>5</v>
      </c>
      <c r="G2513" s="3" t="s">
        <v>6</v>
      </c>
      <c r="H2513" s="3" t="s">
        <v>7</v>
      </c>
      <c r="I2513" s="4" t="s">
        <v>8</v>
      </c>
      <c r="J2513" s="2" t="s">
        <v>9</v>
      </c>
      <c r="K2513" s="3" t="s">
        <v>10</v>
      </c>
      <c r="L2513" s="2" t="s">
        <v>9</v>
      </c>
    </row>
    <row r="2514" spans="1:12" x14ac:dyDescent="0.25">
      <c r="A2514" s="5">
        <v>46011</v>
      </c>
      <c r="B2514" t="s">
        <v>31</v>
      </c>
      <c r="C2514" t="s">
        <v>1071</v>
      </c>
      <c r="D2514" t="s">
        <v>25</v>
      </c>
      <c r="E2514">
        <v>2016</v>
      </c>
      <c r="F2514" s="6">
        <v>98255</v>
      </c>
      <c r="G2514" t="s">
        <v>1072</v>
      </c>
      <c r="I2514" t="s">
        <v>702</v>
      </c>
      <c r="J2514" s="6">
        <v>1200000</v>
      </c>
    </row>
    <row r="2515" spans="1:12" x14ac:dyDescent="0.25">
      <c r="I2515" t="s">
        <v>1073</v>
      </c>
    </row>
    <row r="2516" spans="1:12" x14ac:dyDescent="0.25">
      <c r="I2516" t="s">
        <v>758</v>
      </c>
      <c r="J2516" s="6">
        <v>25000</v>
      </c>
    </row>
    <row r="2517" spans="1:12" x14ac:dyDescent="0.25">
      <c r="I2517" t="s">
        <v>455</v>
      </c>
      <c r="J2517" s="6">
        <v>150000</v>
      </c>
    </row>
    <row r="2518" spans="1:12" x14ac:dyDescent="0.25">
      <c r="I2518" t="s">
        <v>1074</v>
      </c>
      <c r="J2518" s="6">
        <v>90000</v>
      </c>
    </row>
    <row r="2520" spans="1:12" x14ac:dyDescent="0.25">
      <c r="I2520" t="s">
        <v>22</v>
      </c>
      <c r="J2520" s="6">
        <f>SUM(J2514:J2519)</f>
        <v>1465000</v>
      </c>
    </row>
    <row r="2522" spans="1:12" x14ac:dyDescent="0.25">
      <c r="A2522" s="1" t="s">
        <v>0</v>
      </c>
      <c r="B2522" s="1" t="s">
        <v>1</v>
      </c>
      <c r="C2522" s="1" t="s">
        <v>2</v>
      </c>
      <c r="D2522" s="1" t="s">
        <v>3</v>
      </c>
      <c r="E2522" s="1" t="s">
        <v>4</v>
      </c>
      <c r="F2522" s="2" t="s">
        <v>5</v>
      </c>
      <c r="G2522" s="3" t="s">
        <v>6</v>
      </c>
      <c r="H2522" s="3" t="s">
        <v>7</v>
      </c>
      <c r="I2522" s="4" t="s">
        <v>8</v>
      </c>
      <c r="J2522" s="2" t="s">
        <v>9</v>
      </c>
      <c r="K2522" s="3" t="s">
        <v>10</v>
      </c>
      <c r="L2522" s="2" t="s">
        <v>9</v>
      </c>
    </row>
    <row r="2523" spans="1:12" x14ac:dyDescent="0.25">
      <c r="A2523" s="5">
        <v>46011</v>
      </c>
      <c r="B2523" t="s">
        <v>1075</v>
      </c>
      <c r="C2523" t="s">
        <v>1076</v>
      </c>
      <c r="D2523" t="s">
        <v>12</v>
      </c>
      <c r="G2523" t="s">
        <v>1077</v>
      </c>
      <c r="H2523">
        <v>3102066720</v>
      </c>
      <c r="I2523" t="s">
        <v>70</v>
      </c>
      <c r="J2523" s="6">
        <v>200000</v>
      </c>
    </row>
    <row r="2524" spans="1:12" x14ac:dyDescent="0.25">
      <c r="I2524" t="s">
        <v>658</v>
      </c>
      <c r="J2524" s="6">
        <v>140000</v>
      </c>
    </row>
    <row r="2525" spans="1:12" x14ac:dyDescent="0.25">
      <c r="I2525" t="s">
        <v>50</v>
      </c>
      <c r="J2525" s="6">
        <v>35000</v>
      </c>
    </row>
    <row r="2526" spans="1:12" x14ac:dyDescent="0.25">
      <c r="I2526" t="s">
        <v>1078</v>
      </c>
      <c r="J2526" s="6">
        <v>99000</v>
      </c>
    </row>
    <row r="2527" spans="1:12" x14ac:dyDescent="0.25">
      <c r="I2527" t="s">
        <v>21</v>
      </c>
      <c r="J2527" s="6">
        <v>25000</v>
      </c>
    </row>
    <row r="2528" spans="1:12" x14ac:dyDescent="0.25">
      <c r="I2528" t="s">
        <v>1079</v>
      </c>
      <c r="J2528" s="6">
        <v>40000</v>
      </c>
    </row>
    <row r="2530" spans="1:12" x14ac:dyDescent="0.25">
      <c r="I2530" t="s">
        <v>22</v>
      </c>
      <c r="J2530" s="6">
        <f>SUM(J2523:J2529)</f>
        <v>539000</v>
      </c>
    </row>
    <row r="2532" spans="1:12" x14ac:dyDescent="0.25">
      <c r="A2532" s="1" t="s">
        <v>0</v>
      </c>
      <c r="B2532" s="1" t="s">
        <v>1</v>
      </c>
      <c r="C2532" s="1" t="s">
        <v>2</v>
      </c>
      <c r="D2532" s="1" t="s">
        <v>3</v>
      </c>
      <c r="E2532" s="1" t="s">
        <v>4</v>
      </c>
      <c r="F2532" s="2" t="s">
        <v>5</v>
      </c>
      <c r="G2532" s="3" t="s">
        <v>6</v>
      </c>
      <c r="H2532" s="3" t="s">
        <v>7</v>
      </c>
      <c r="I2532" s="4" t="s">
        <v>8</v>
      </c>
      <c r="J2532" s="2" t="s">
        <v>9</v>
      </c>
      <c r="K2532" s="3" t="s">
        <v>10</v>
      </c>
      <c r="L2532" s="2" t="s">
        <v>9</v>
      </c>
    </row>
    <row r="2533" spans="1:12" x14ac:dyDescent="0.25">
      <c r="A2533" s="5">
        <v>46011</v>
      </c>
      <c r="B2533" t="s">
        <v>1080</v>
      </c>
      <c r="C2533" t="s">
        <v>1081</v>
      </c>
      <c r="D2533" t="s">
        <v>227</v>
      </c>
      <c r="G2533" t="s">
        <v>1082</v>
      </c>
      <c r="I2533" t="s">
        <v>21</v>
      </c>
    </row>
    <row r="2534" spans="1:12" x14ac:dyDescent="0.25">
      <c r="I2534" t="s">
        <v>75</v>
      </c>
      <c r="J2534" s="6">
        <v>430000</v>
      </c>
    </row>
    <row r="2535" spans="1:12" x14ac:dyDescent="0.25">
      <c r="I2535" t="s">
        <v>1083</v>
      </c>
      <c r="J2535" s="6">
        <v>250000</v>
      </c>
    </row>
    <row r="2537" spans="1:12" x14ac:dyDescent="0.25">
      <c r="I2537" t="s">
        <v>22</v>
      </c>
      <c r="J2537" s="6">
        <f>SUM(J2533:J2536)</f>
        <v>680000</v>
      </c>
    </row>
    <row r="2539" spans="1:12" x14ac:dyDescent="0.25">
      <c r="A2539" s="1" t="s">
        <v>0</v>
      </c>
      <c r="B2539" s="1" t="s">
        <v>1</v>
      </c>
      <c r="C2539" s="1" t="s">
        <v>2</v>
      </c>
      <c r="D2539" s="1" t="s">
        <v>3</v>
      </c>
      <c r="E2539" s="1" t="s">
        <v>4</v>
      </c>
      <c r="F2539" s="2" t="s">
        <v>5</v>
      </c>
      <c r="G2539" s="3" t="s">
        <v>6</v>
      </c>
      <c r="H2539" s="3" t="s">
        <v>7</v>
      </c>
      <c r="I2539" s="4" t="s">
        <v>8</v>
      </c>
      <c r="J2539" s="2" t="s">
        <v>9</v>
      </c>
      <c r="K2539" s="3" t="s">
        <v>10</v>
      </c>
      <c r="L2539" s="2" t="s">
        <v>9</v>
      </c>
    </row>
    <row r="2540" spans="1:12" x14ac:dyDescent="0.25">
      <c r="A2540" s="5">
        <v>46011</v>
      </c>
      <c r="B2540" t="s">
        <v>1084</v>
      </c>
      <c r="C2540" t="s">
        <v>1085</v>
      </c>
      <c r="D2540" t="s">
        <v>138</v>
      </c>
      <c r="G2540" t="s">
        <v>223</v>
      </c>
      <c r="I2540" t="s">
        <v>1086</v>
      </c>
    </row>
    <row r="2541" spans="1:12" x14ac:dyDescent="0.25">
      <c r="I2541" t="s">
        <v>1087</v>
      </c>
      <c r="J2541" s="6">
        <v>250000</v>
      </c>
    </row>
    <row r="2542" spans="1:12" x14ac:dyDescent="0.25">
      <c r="I2542" t="s">
        <v>1088</v>
      </c>
      <c r="J2542" s="6">
        <v>5000</v>
      </c>
    </row>
    <row r="2543" spans="1:12" x14ac:dyDescent="0.25">
      <c r="I2543" t="s">
        <v>21</v>
      </c>
      <c r="J2543" s="6">
        <v>25000</v>
      </c>
    </row>
    <row r="2545" spans="1:12" x14ac:dyDescent="0.25">
      <c r="I2545" t="s">
        <v>22</v>
      </c>
      <c r="J2545" s="6">
        <f>SUM(J2540:J2544)</f>
        <v>280000</v>
      </c>
    </row>
    <row r="2547" spans="1:12" x14ac:dyDescent="0.25">
      <c r="A2547" s="1" t="s">
        <v>0</v>
      </c>
      <c r="B2547" s="1" t="s">
        <v>1</v>
      </c>
      <c r="C2547" s="1" t="s">
        <v>2</v>
      </c>
      <c r="D2547" s="1" t="s">
        <v>3</v>
      </c>
      <c r="E2547" s="1" t="s">
        <v>4</v>
      </c>
      <c r="F2547" s="2" t="s">
        <v>5</v>
      </c>
      <c r="G2547" s="3" t="s">
        <v>6</v>
      </c>
      <c r="H2547" s="3" t="s">
        <v>7</v>
      </c>
      <c r="I2547" s="4" t="s">
        <v>8</v>
      </c>
      <c r="J2547" s="2" t="s">
        <v>9</v>
      </c>
      <c r="K2547" s="3" t="s">
        <v>10</v>
      </c>
      <c r="L2547" s="2" t="s">
        <v>9</v>
      </c>
    </row>
    <row r="2548" spans="1:12" x14ac:dyDescent="0.25">
      <c r="A2548" s="5">
        <v>46011</v>
      </c>
      <c r="B2548" t="s">
        <v>31</v>
      </c>
      <c r="C2548" t="s">
        <v>1089</v>
      </c>
      <c r="D2548" t="s">
        <v>45</v>
      </c>
      <c r="F2548" s="6">
        <v>105000</v>
      </c>
      <c r="G2548" t="s">
        <v>1090</v>
      </c>
      <c r="I2548" t="s">
        <v>350</v>
      </c>
      <c r="J2548" s="6">
        <v>815000</v>
      </c>
    </row>
    <row r="2549" spans="1:12" x14ac:dyDescent="0.25">
      <c r="I2549" t="s">
        <v>1091</v>
      </c>
      <c r="J2549" s="6">
        <v>150000</v>
      </c>
    </row>
    <row r="2550" spans="1:12" x14ac:dyDescent="0.25">
      <c r="I2550" t="s">
        <v>702</v>
      </c>
      <c r="J2550" s="6">
        <v>1200000</v>
      </c>
    </row>
    <row r="2551" spans="1:12" x14ac:dyDescent="0.25">
      <c r="I2551" t="s">
        <v>1092</v>
      </c>
      <c r="J2551" s="6">
        <v>80000</v>
      </c>
    </row>
    <row r="2552" spans="1:12" x14ac:dyDescent="0.25">
      <c r="I2552" t="s">
        <v>1093</v>
      </c>
      <c r="J2552" s="6">
        <v>80000</v>
      </c>
    </row>
    <row r="2553" spans="1:12" x14ac:dyDescent="0.25">
      <c r="I2553" t="s">
        <v>1094</v>
      </c>
      <c r="J2553" s="6">
        <v>360000</v>
      </c>
    </row>
    <row r="2554" spans="1:12" x14ac:dyDescent="0.25">
      <c r="I2554" t="s">
        <v>1095</v>
      </c>
      <c r="J2554" s="6">
        <v>180000</v>
      </c>
    </row>
    <row r="2555" spans="1:12" x14ac:dyDescent="0.25">
      <c r="I2555" t="s">
        <v>146</v>
      </c>
      <c r="J2555" s="6">
        <v>35000</v>
      </c>
    </row>
    <row r="2557" spans="1:12" x14ac:dyDescent="0.25">
      <c r="I2557" t="s">
        <v>22</v>
      </c>
      <c r="J2557" s="6">
        <f>SUM(J2548:J2556)</f>
        <v>2900000</v>
      </c>
    </row>
    <row r="2559" spans="1:12" x14ac:dyDescent="0.25">
      <c r="A2559" s="1" t="s">
        <v>0</v>
      </c>
      <c r="B2559" s="1" t="s">
        <v>1</v>
      </c>
      <c r="C2559" s="1" t="s">
        <v>2</v>
      </c>
      <c r="D2559" s="1" t="s">
        <v>3</v>
      </c>
      <c r="E2559" s="1" t="s">
        <v>4</v>
      </c>
      <c r="F2559" s="2" t="s">
        <v>5</v>
      </c>
      <c r="G2559" s="3" t="s">
        <v>6</v>
      </c>
      <c r="H2559" s="3" t="s">
        <v>7</v>
      </c>
      <c r="I2559" s="4" t="s">
        <v>8</v>
      </c>
      <c r="J2559" s="2" t="s">
        <v>9</v>
      </c>
      <c r="K2559" s="3" t="s">
        <v>10</v>
      </c>
      <c r="L2559" s="2" t="s">
        <v>9</v>
      </c>
    </row>
    <row r="2560" spans="1:12" x14ac:dyDescent="0.25">
      <c r="A2560" s="5">
        <v>46011</v>
      </c>
      <c r="B2560" t="s">
        <v>110</v>
      </c>
      <c r="C2560" t="s">
        <v>1096</v>
      </c>
      <c r="D2560" t="s">
        <v>25</v>
      </c>
      <c r="F2560" s="6">
        <v>140241</v>
      </c>
      <c r="G2560" t="s">
        <v>1097</v>
      </c>
      <c r="I2560" t="s">
        <v>70</v>
      </c>
      <c r="J2560" s="6">
        <v>350000</v>
      </c>
    </row>
    <row r="2561" spans="1:12" x14ac:dyDescent="0.25">
      <c r="I2561" t="s">
        <v>16</v>
      </c>
      <c r="J2561" s="6">
        <v>40000</v>
      </c>
    </row>
    <row r="2562" spans="1:12" x14ac:dyDescent="0.25">
      <c r="I2562" t="s">
        <v>1098</v>
      </c>
      <c r="J2562" s="6">
        <v>50000</v>
      </c>
    </row>
    <row r="2563" spans="1:12" x14ac:dyDescent="0.25">
      <c r="I2563" t="s">
        <v>1099</v>
      </c>
      <c r="J2563" s="6">
        <v>240000</v>
      </c>
    </row>
    <row r="2565" spans="1:12" x14ac:dyDescent="0.25">
      <c r="I2565" t="s">
        <v>22</v>
      </c>
      <c r="J2565" s="6">
        <f>SUM(J2560:J2564)</f>
        <v>680000</v>
      </c>
    </row>
    <row r="2567" spans="1:12" x14ac:dyDescent="0.25">
      <c r="A2567" s="1" t="s">
        <v>0</v>
      </c>
      <c r="B2567" s="1" t="s">
        <v>1</v>
      </c>
      <c r="C2567" s="1" t="s">
        <v>2</v>
      </c>
      <c r="D2567" s="1" t="s">
        <v>3</v>
      </c>
      <c r="E2567" s="1" t="s">
        <v>4</v>
      </c>
      <c r="F2567" s="2" t="s">
        <v>5</v>
      </c>
      <c r="G2567" s="3" t="s">
        <v>6</v>
      </c>
      <c r="H2567" s="3" t="s">
        <v>7</v>
      </c>
      <c r="I2567" s="4" t="s">
        <v>8</v>
      </c>
      <c r="J2567" s="2" t="s">
        <v>9</v>
      </c>
      <c r="K2567" s="3" t="s">
        <v>10</v>
      </c>
      <c r="L2567" s="2" t="s">
        <v>9</v>
      </c>
    </row>
    <row r="2568" spans="1:12" x14ac:dyDescent="0.25">
      <c r="A2568" s="5">
        <v>46011</v>
      </c>
      <c r="B2568" t="s">
        <v>31</v>
      </c>
      <c r="C2568" t="s">
        <v>1100</v>
      </c>
      <c r="D2568" t="s">
        <v>12</v>
      </c>
      <c r="G2568" t="s">
        <v>865</v>
      </c>
      <c r="I2568" t="s">
        <v>702</v>
      </c>
      <c r="J2568" s="6">
        <v>850000</v>
      </c>
    </row>
    <row r="2569" spans="1:12" x14ac:dyDescent="0.25">
      <c r="I2569" t="s">
        <v>1101</v>
      </c>
      <c r="J2569" s="6">
        <v>70000</v>
      </c>
    </row>
    <row r="2570" spans="1:12" x14ac:dyDescent="0.25">
      <c r="I2570" t="s">
        <v>21</v>
      </c>
      <c r="J2570" s="6">
        <v>25000</v>
      </c>
    </row>
    <row r="2571" spans="1:12" x14ac:dyDescent="0.25">
      <c r="I2571" t="s">
        <v>34</v>
      </c>
      <c r="J2571" s="6">
        <v>224000</v>
      </c>
    </row>
    <row r="2572" spans="1:12" x14ac:dyDescent="0.25">
      <c r="I2572" t="s">
        <v>19</v>
      </c>
      <c r="J2572" s="6">
        <v>46000</v>
      </c>
    </row>
    <row r="2573" spans="1:12" x14ac:dyDescent="0.25">
      <c r="I2573" t="s">
        <v>462</v>
      </c>
      <c r="J2573" s="6">
        <v>650000</v>
      </c>
    </row>
    <row r="2575" spans="1:12" x14ac:dyDescent="0.25">
      <c r="I2575" t="s">
        <v>22</v>
      </c>
      <c r="J2575" s="6">
        <f>SUM(J2568:J2574)</f>
        <v>1865000</v>
      </c>
    </row>
    <row r="2577" spans="1:12" x14ac:dyDescent="0.25">
      <c r="A2577" s="1" t="s">
        <v>0</v>
      </c>
      <c r="B2577" s="1" t="s">
        <v>1</v>
      </c>
      <c r="C2577" s="1" t="s">
        <v>2</v>
      </c>
      <c r="D2577" s="1" t="s">
        <v>3</v>
      </c>
      <c r="E2577" s="1" t="s">
        <v>4</v>
      </c>
      <c r="F2577" s="2" t="s">
        <v>5</v>
      </c>
      <c r="G2577" s="3" t="s">
        <v>6</v>
      </c>
      <c r="H2577" s="3" t="s">
        <v>7</v>
      </c>
      <c r="I2577" s="4" t="s">
        <v>8</v>
      </c>
      <c r="J2577" s="2" t="s">
        <v>9</v>
      </c>
      <c r="K2577" s="3" t="s">
        <v>10</v>
      </c>
      <c r="L2577" s="2" t="s">
        <v>9</v>
      </c>
    </row>
    <row r="2578" spans="1:12" x14ac:dyDescent="0.25">
      <c r="A2578" s="5">
        <v>46011</v>
      </c>
      <c r="B2578" t="s">
        <v>136</v>
      </c>
      <c r="C2578" t="s">
        <v>1172</v>
      </c>
      <c r="E2578">
        <v>2026</v>
      </c>
      <c r="F2578" s="6">
        <v>900</v>
      </c>
      <c r="G2578" t="s">
        <v>1173</v>
      </c>
      <c r="H2578">
        <v>3214927318</v>
      </c>
      <c r="I2578" t="s">
        <v>36</v>
      </c>
    </row>
    <row r="2579" spans="1:12" x14ac:dyDescent="0.25">
      <c r="I2579" t="s">
        <v>34</v>
      </c>
    </row>
    <row r="2581" spans="1:12" x14ac:dyDescent="0.25">
      <c r="I2581" t="s">
        <v>22</v>
      </c>
    </row>
    <row r="2583" spans="1:12" x14ac:dyDescent="0.25">
      <c r="A2583" s="1" t="s">
        <v>0</v>
      </c>
      <c r="B2583" s="1" t="s">
        <v>1</v>
      </c>
      <c r="C2583" s="1" t="s">
        <v>2</v>
      </c>
      <c r="D2583" s="1" t="s">
        <v>3</v>
      </c>
      <c r="E2583" s="1" t="s">
        <v>4</v>
      </c>
      <c r="F2583" s="2" t="s">
        <v>5</v>
      </c>
      <c r="G2583" s="3" t="s">
        <v>6</v>
      </c>
      <c r="H2583" s="3" t="s">
        <v>7</v>
      </c>
      <c r="I2583" s="4" t="s">
        <v>8</v>
      </c>
      <c r="J2583" s="2" t="s">
        <v>9</v>
      </c>
      <c r="K2583" s="3" t="s">
        <v>10</v>
      </c>
      <c r="L2583" s="2" t="s">
        <v>9</v>
      </c>
    </row>
    <row r="2584" spans="1:12" x14ac:dyDescent="0.25">
      <c r="A2584" s="5">
        <v>46013</v>
      </c>
      <c r="B2584" t="s">
        <v>1102</v>
      </c>
      <c r="C2584" t="s">
        <v>628</v>
      </c>
      <c r="F2584" s="6">
        <v>29341</v>
      </c>
      <c r="G2584" t="s">
        <v>1103</v>
      </c>
      <c r="I2584" t="s">
        <v>34</v>
      </c>
      <c r="J2584" s="6">
        <v>350000</v>
      </c>
    </row>
    <row r="2585" spans="1:12" x14ac:dyDescent="0.25">
      <c r="I2585" t="s">
        <v>19</v>
      </c>
      <c r="J2585" s="6">
        <v>72000</v>
      </c>
    </row>
    <row r="2586" spans="1:12" x14ac:dyDescent="0.25">
      <c r="I2586" t="s">
        <v>107</v>
      </c>
      <c r="J2586" s="6">
        <v>115000</v>
      </c>
    </row>
    <row r="2587" spans="1:12" x14ac:dyDescent="0.25">
      <c r="I2587" t="s">
        <v>21</v>
      </c>
      <c r="J2587" s="6">
        <v>25000</v>
      </c>
    </row>
    <row r="2588" spans="1:12" x14ac:dyDescent="0.25">
      <c r="I2588" t="s">
        <v>208</v>
      </c>
      <c r="J2588" s="6">
        <v>15000</v>
      </c>
    </row>
    <row r="2589" spans="1:12" x14ac:dyDescent="0.25">
      <c r="I2589" t="s">
        <v>61</v>
      </c>
      <c r="J2589" s="6">
        <v>80000</v>
      </c>
    </row>
    <row r="2590" spans="1:12" x14ac:dyDescent="0.25">
      <c r="I2590" t="s">
        <v>1104</v>
      </c>
      <c r="J2590" s="6">
        <v>5000</v>
      </c>
    </row>
    <row r="2591" spans="1:12" x14ac:dyDescent="0.25">
      <c r="I2591" t="s">
        <v>1105</v>
      </c>
      <c r="J2591" s="6">
        <v>60000</v>
      </c>
    </row>
    <row r="2593" spans="1:12" x14ac:dyDescent="0.25">
      <c r="I2593" t="s">
        <v>22</v>
      </c>
      <c r="J2593" s="6">
        <f>SUM(J2584:J2592)</f>
        <v>722000</v>
      </c>
    </row>
    <row r="2595" spans="1:12" x14ac:dyDescent="0.25">
      <c r="A2595" s="1" t="s">
        <v>0</v>
      </c>
      <c r="B2595" s="1" t="s">
        <v>1</v>
      </c>
      <c r="C2595" s="1" t="s">
        <v>2</v>
      </c>
      <c r="D2595" s="1" t="s">
        <v>3</v>
      </c>
      <c r="E2595" s="1" t="s">
        <v>4</v>
      </c>
      <c r="F2595" s="2" t="s">
        <v>5</v>
      </c>
      <c r="G2595" s="3" t="s">
        <v>6</v>
      </c>
      <c r="H2595" s="3" t="s">
        <v>7</v>
      </c>
      <c r="I2595" s="4" t="s">
        <v>8</v>
      </c>
      <c r="J2595" s="2" t="s">
        <v>9</v>
      </c>
      <c r="K2595" s="3" t="s">
        <v>10</v>
      </c>
      <c r="L2595" s="2" t="s">
        <v>9</v>
      </c>
    </row>
    <row r="2596" spans="1:12" x14ac:dyDescent="0.25">
      <c r="A2596" s="5">
        <v>46013</v>
      </c>
      <c r="B2596" t="s">
        <v>130</v>
      </c>
      <c r="C2596" t="s">
        <v>770</v>
      </c>
      <c r="D2596" t="s">
        <v>138</v>
      </c>
      <c r="F2596" s="6">
        <v>40727</v>
      </c>
      <c r="I2596" t="s">
        <v>50</v>
      </c>
      <c r="J2596" s="6">
        <v>120000</v>
      </c>
    </row>
    <row r="2597" spans="1:12" x14ac:dyDescent="0.25">
      <c r="I2597" t="s">
        <v>1106</v>
      </c>
      <c r="J2597" s="6">
        <v>150000</v>
      </c>
    </row>
    <row r="2599" spans="1:12" x14ac:dyDescent="0.25">
      <c r="I2599" t="s">
        <v>22</v>
      </c>
      <c r="J2599" s="6">
        <f>SUM(J2596:J2598)</f>
        <v>270000</v>
      </c>
    </row>
    <row r="2601" spans="1:12" x14ac:dyDescent="0.25">
      <c r="A2601" s="1" t="s">
        <v>0</v>
      </c>
      <c r="B2601" s="1" t="s">
        <v>1</v>
      </c>
      <c r="C2601" s="1" t="s">
        <v>2</v>
      </c>
      <c r="D2601" s="1" t="s">
        <v>3</v>
      </c>
      <c r="E2601" s="1" t="s">
        <v>4</v>
      </c>
      <c r="F2601" s="2" t="s">
        <v>5</v>
      </c>
      <c r="G2601" s="3" t="s">
        <v>6</v>
      </c>
      <c r="H2601" s="3" t="s">
        <v>7</v>
      </c>
      <c r="I2601" s="4" t="s">
        <v>8</v>
      </c>
      <c r="J2601" s="2" t="s">
        <v>9</v>
      </c>
      <c r="K2601" s="3" t="s">
        <v>10</v>
      </c>
      <c r="L2601" s="2" t="s">
        <v>9</v>
      </c>
    </row>
    <row r="2602" spans="1:12" x14ac:dyDescent="0.25">
      <c r="A2602" s="5">
        <v>46013</v>
      </c>
      <c r="B2602" t="s">
        <v>31</v>
      </c>
      <c r="C2602" t="s">
        <v>1107</v>
      </c>
      <c r="D2602" t="s">
        <v>12</v>
      </c>
      <c r="F2602" s="6">
        <v>77383</v>
      </c>
      <c r="G2602" t="s">
        <v>1108</v>
      </c>
      <c r="I2602" t="s">
        <v>407</v>
      </c>
      <c r="J2602" s="6">
        <v>480000</v>
      </c>
    </row>
    <row r="2603" spans="1:12" x14ac:dyDescent="0.25">
      <c r="I2603" t="s">
        <v>75</v>
      </c>
      <c r="J2603" s="6">
        <v>310000</v>
      </c>
    </row>
    <row r="2604" spans="1:12" x14ac:dyDescent="0.25">
      <c r="I2604" t="s">
        <v>838</v>
      </c>
      <c r="J2604" s="6">
        <v>30000</v>
      </c>
    </row>
    <row r="2606" spans="1:12" x14ac:dyDescent="0.25">
      <c r="I2606" t="s">
        <v>22</v>
      </c>
      <c r="J2606" s="6">
        <f>SUM(J2602:J2605)</f>
        <v>820000</v>
      </c>
    </row>
    <row r="2608" spans="1:12" x14ac:dyDescent="0.25">
      <c r="A2608" s="1" t="s">
        <v>0</v>
      </c>
      <c r="B2608" s="1" t="s">
        <v>1</v>
      </c>
      <c r="C2608" s="1" t="s">
        <v>2</v>
      </c>
      <c r="D2608" s="1" t="s">
        <v>3</v>
      </c>
      <c r="E2608" s="1" t="s">
        <v>4</v>
      </c>
      <c r="F2608" s="2" t="s">
        <v>5</v>
      </c>
      <c r="G2608" s="3" t="s">
        <v>6</v>
      </c>
      <c r="H2608" s="3" t="s">
        <v>7</v>
      </c>
      <c r="I2608" s="4" t="s">
        <v>8</v>
      </c>
      <c r="J2608" s="2" t="s">
        <v>9</v>
      </c>
      <c r="K2608" s="3" t="s">
        <v>10</v>
      </c>
      <c r="L2608" s="2" t="s">
        <v>9</v>
      </c>
    </row>
    <row r="2609" spans="1:12" x14ac:dyDescent="0.25">
      <c r="A2609" s="5">
        <v>46013</v>
      </c>
      <c r="B2609" t="s">
        <v>31</v>
      </c>
      <c r="C2609" t="s">
        <v>377</v>
      </c>
      <c r="D2609" t="s">
        <v>12</v>
      </c>
      <c r="G2609" t="s">
        <v>378</v>
      </c>
      <c r="I2609" t="s">
        <v>901</v>
      </c>
    </row>
    <row r="2610" spans="1:12" x14ac:dyDescent="0.25">
      <c r="I2610" t="s">
        <v>793</v>
      </c>
      <c r="J2610" s="6">
        <v>120000</v>
      </c>
    </row>
    <row r="2611" spans="1:12" x14ac:dyDescent="0.25">
      <c r="I2611" t="s">
        <v>1109</v>
      </c>
      <c r="J2611" s="6">
        <v>80000</v>
      </c>
    </row>
    <row r="2612" spans="1:12" x14ac:dyDescent="0.25">
      <c r="I2612" t="s">
        <v>1110</v>
      </c>
      <c r="J2612" s="6">
        <v>250000</v>
      </c>
    </row>
    <row r="2613" spans="1:12" x14ac:dyDescent="0.25">
      <c r="I2613" t="s">
        <v>702</v>
      </c>
      <c r="J2613" s="6">
        <v>1050000</v>
      </c>
    </row>
    <row r="2614" spans="1:12" x14ac:dyDescent="0.25">
      <c r="I2614" t="s">
        <v>1111</v>
      </c>
      <c r="J2614" s="6">
        <v>250000</v>
      </c>
    </row>
    <row r="2615" spans="1:12" x14ac:dyDescent="0.25">
      <c r="I2615" t="s">
        <v>1112</v>
      </c>
      <c r="J2615" s="6">
        <v>80000</v>
      </c>
    </row>
    <row r="2616" spans="1:12" x14ac:dyDescent="0.25">
      <c r="I2616" t="s">
        <v>321</v>
      </c>
      <c r="J2616" s="6">
        <v>180000</v>
      </c>
    </row>
    <row r="2617" spans="1:12" x14ac:dyDescent="0.25">
      <c r="I2617" t="s">
        <v>146</v>
      </c>
      <c r="J2617" s="6">
        <v>35000</v>
      </c>
    </row>
    <row r="2619" spans="1:12" x14ac:dyDescent="0.25">
      <c r="I2619" t="s">
        <v>22</v>
      </c>
      <c r="J2619" s="6">
        <f>SUM(J2609:J2618)</f>
        <v>2045000</v>
      </c>
    </row>
    <row r="2621" spans="1:12" x14ac:dyDescent="0.25">
      <c r="A2621" s="1" t="s">
        <v>0</v>
      </c>
      <c r="B2621" s="1" t="s">
        <v>1</v>
      </c>
      <c r="C2621" s="1" t="s">
        <v>2</v>
      </c>
      <c r="D2621" s="1" t="s">
        <v>3</v>
      </c>
      <c r="E2621" s="1" t="s">
        <v>4</v>
      </c>
      <c r="F2621" s="2" t="s">
        <v>5</v>
      </c>
      <c r="G2621" s="3" t="s">
        <v>6</v>
      </c>
      <c r="H2621" s="3" t="s">
        <v>7</v>
      </c>
      <c r="I2621" s="4" t="s">
        <v>8</v>
      </c>
      <c r="J2621" s="2" t="s">
        <v>9</v>
      </c>
      <c r="K2621" s="3" t="s">
        <v>10</v>
      </c>
      <c r="L2621" s="2" t="s">
        <v>9</v>
      </c>
    </row>
    <row r="2622" spans="1:12" x14ac:dyDescent="0.25">
      <c r="A2622" s="5">
        <v>46013</v>
      </c>
      <c r="B2622" t="s">
        <v>31</v>
      </c>
      <c r="C2622" t="s">
        <v>355</v>
      </c>
      <c r="D2622" t="s">
        <v>45</v>
      </c>
      <c r="E2622">
        <v>2014</v>
      </c>
      <c r="F2622" s="6">
        <v>115671</v>
      </c>
      <c r="G2622" t="s">
        <v>356</v>
      </c>
      <c r="H2622">
        <v>3115904675</v>
      </c>
      <c r="I2622" t="s">
        <v>34</v>
      </c>
      <c r="J2622" s="6">
        <v>272000</v>
      </c>
    </row>
    <row r="2623" spans="1:12" x14ac:dyDescent="0.25">
      <c r="F2623" s="6">
        <v>1156718</v>
      </c>
      <c r="I2623" t="s">
        <v>19</v>
      </c>
      <c r="J2623" s="6">
        <v>46000</v>
      </c>
    </row>
    <row r="2624" spans="1:12" x14ac:dyDescent="0.25">
      <c r="I2624" t="s">
        <v>37</v>
      </c>
      <c r="J2624" s="6">
        <v>40000</v>
      </c>
    </row>
    <row r="2626" spans="1:12" x14ac:dyDescent="0.25">
      <c r="I2626" t="s">
        <v>22</v>
      </c>
      <c r="J2626" s="6">
        <f>SUM(J2622:J2625)</f>
        <v>358000</v>
      </c>
    </row>
    <row r="2628" spans="1:12" x14ac:dyDescent="0.25">
      <c r="A2628" s="1" t="s">
        <v>0</v>
      </c>
      <c r="B2628" s="1" t="s">
        <v>1</v>
      </c>
      <c r="C2628" s="1" t="s">
        <v>2</v>
      </c>
      <c r="D2628" s="1" t="s">
        <v>3</v>
      </c>
      <c r="E2628" s="1" t="s">
        <v>4</v>
      </c>
      <c r="F2628" s="2" t="s">
        <v>5</v>
      </c>
      <c r="G2628" s="3" t="s">
        <v>6</v>
      </c>
      <c r="H2628" s="3" t="s">
        <v>7</v>
      </c>
      <c r="I2628" s="4" t="s">
        <v>8</v>
      </c>
      <c r="J2628" s="2" t="s">
        <v>9</v>
      </c>
      <c r="K2628" s="3" t="s">
        <v>10</v>
      </c>
      <c r="L2628" s="2" t="s">
        <v>9</v>
      </c>
    </row>
    <row r="2629" spans="1:12" x14ac:dyDescent="0.25">
      <c r="A2629" s="5">
        <v>46013</v>
      </c>
      <c r="B2629" t="s">
        <v>650</v>
      </c>
      <c r="C2629" t="s">
        <v>1113</v>
      </c>
      <c r="I2629" t="s">
        <v>1114</v>
      </c>
      <c r="J2629" s="6">
        <v>40000</v>
      </c>
    </row>
    <row r="2630" spans="1:12" x14ac:dyDescent="0.25">
      <c r="I2630" t="s">
        <v>108</v>
      </c>
      <c r="J2630" s="6">
        <v>80000</v>
      </c>
    </row>
    <row r="2631" spans="1:12" x14ac:dyDescent="0.25">
      <c r="I2631" t="s">
        <v>52</v>
      </c>
      <c r="J2631" s="6">
        <v>15000</v>
      </c>
    </row>
    <row r="2632" spans="1:12" x14ac:dyDescent="0.25">
      <c r="I2632" t="s">
        <v>1115</v>
      </c>
      <c r="J2632" s="6">
        <v>250000</v>
      </c>
    </row>
    <row r="2633" spans="1:12" x14ac:dyDescent="0.25">
      <c r="I2633" t="s">
        <v>70</v>
      </c>
      <c r="J2633" s="6">
        <v>280000</v>
      </c>
    </row>
    <row r="2634" spans="1:12" x14ac:dyDescent="0.25">
      <c r="I2634" t="s">
        <v>18</v>
      </c>
      <c r="J2634" s="6">
        <v>95000</v>
      </c>
    </row>
    <row r="2635" spans="1:12" x14ac:dyDescent="0.25">
      <c r="I2635" t="s">
        <v>365</v>
      </c>
      <c r="J2635" s="6">
        <v>18000</v>
      </c>
    </row>
    <row r="2636" spans="1:12" x14ac:dyDescent="0.25">
      <c r="I2636" t="s">
        <v>21</v>
      </c>
      <c r="J2636" s="6">
        <v>25000</v>
      </c>
    </row>
    <row r="2637" spans="1:12" x14ac:dyDescent="0.25">
      <c r="I2637" t="s">
        <v>1116</v>
      </c>
      <c r="J2637" s="6">
        <v>30000</v>
      </c>
    </row>
    <row r="2639" spans="1:12" x14ac:dyDescent="0.25">
      <c r="I2639" t="s">
        <v>22</v>
      </c>
      <c r="J2639" s="6">
        <f>SUM(J2629:J2638)</f>
        <v>833000</v>
      </c>
    </row>
    <row r="2641" spans="1:12" x14ac:dyDescent="0.25">
      <c r="A2641" s="1" t="s">
        <v>0</v>
      </c>
      <c r="B2641" s="1" t="s">
        <v>1</v>
      </c>
      <c r="C2641" s="1" t="s">
        <v>2</v>
      </c>
      <c r="D2641" s="1" t="s">
        <v>3</v>
      </c>
      <c r="E2641" s="1" t="s">
        <v>4</v>
      </c>
      <c r="F2641" s="2" t="s">
        <v>5</v>
      </c>
      <c r="G2641" s="3" t="s">
        <v>6</v>
      </c>
      <c r="H2641" s="3" t="s">
        <v>7</v>
      </c>
      <c r="I2641" s="4" t="s">
        <v>8</v>
      </c>
      <c r="J2641" s="2" t="s">
        <v>9</v>
      </c>
      <c r="K2641" s="3" t="s">
        <v>10</v>
      </c>
      <c r="L2641" s="2" t="s">
        <v>9</v>
      </c>
    </row>
    <row r="2642" spans="1:12" x14ac:dyDescent="0.25">
      <c r="A2642" s="5">
        <v>46013</v>
      </c>
      <c r="B2642" t="s">
        <v>31</v>
      </c>
      <c r="C2642" t="s">
        <v>1117</v>
      </c>
      <c r="D2642" t="s">
        <v>12</v>
      </c>
      <c r="F2642" s="6">
        <v>69762</v>
      </c>
      <c r="I2642" t="s">
        <v>70</v>
      </c>
      <c r="J2642" s="6">
        <v>390000</v>
      </c>
    </row>
    <row r="2643" spans="1:12" x14ac:dyDescent="0.25">
      <c r="I2643" t="s">
        <v>456</v>
      </c>
      <c r="J2643" s="6">
        <v>80000</v>
      </c>
    </row>
    <row r="2644" spans="1:12" x14ac:dyDescent="0.25">
      <c r="I2644" t="s">
        <v>127</v>
      </c>
      <c r="J2644" s="6">
        <v>220000</v>
      </c>
    </row>
    <row r="2645" spans="1:12" x14ac:dyDescent="0.25">
      <c r="I2645" t="s">
        <v>19</v>
      </c>
      <c r="J2645" s="6">
        <v>46000</v>
      </c>
    </row>
    <row r="2646" spans="1:12" x14ac:dyDescent="0.25">
      <c r="I2646" t="s">
        <v>985</v>
      </c>
      <c r="J2646" s="6">
        <v>30000</v>
      </c>
    </row>
    <row r="2647" spans="1:12" x14ac:dyDescent="0.25">
      <c r="I2647" t="s">
        <v>21</v>
      </c>
      <c r="J2647" s="6">
        <v>25000</v>
      </c>
    </row>
    <row r="2649" spans="1:12" x14ac:dyDescent="0.25">
      <c r="I2649" t="s">
        <v>22</v>
      </c>
      <c r="J2649" s="6">
        <f>SUM(J2642:J2648)</f>
        <v>791000</v>
      </c>
    </row>
    <row r="2651" spans="1:12" x14ac:dyDescent="0.25">
      <c r="A2651" s="1" t="s">
        <v>0</v>
      </c>
      <c r="B2651" s="1" t="s">
        <v>1</v>
      </c>
      <c r="C2651" s="1" t="s">
        <v>2</v>
      </c>
      <c r="D2651" s="1" t="s">
        <v>3</v>
      </c>
      <c r="E2651" s="1" t="s">
        <v>4</v>
      </c>
      <c r="F2651" s="2" t="s">
        <v>5</v>
      </c>
      <c r="G2651" s="3" t="s">
        <v>6</v>
      </c>
      <c r="H2651" s="3" t="s">
        <v>7</v>
      </c>
      <c r="I2651" s="4" t="s">
        <v>8</v>
      </c>
      <c r="J2651" s="2" t="s">
        <v>9</v>
      </c>
      <c r="K2651" s="3" t="s">
        <v>10</v>
      </c>
      <c r="L2651" s="2" t="s">
        <v>9</v>
      </c>
    </row>
    <row r="2652" spans="1:12" x14ac:dyDescent="0.25">
      <c r="A2652" s="5">
        <v>46013</v>
      </c>
      <c r="B2652" t="s">
        <v>110</v>
      </c>
      <c r="C2652" t="s">
        <v>1170</v>
      </c>
      <c r="D2652" t="s">
        <v>25</v>
      </c>
      <c r="G2652" t="s">
        <v>1171</v>
      </c>
      <c r="H2652">
        <v>3204654728</v>
      </c>
      <c r="I2652" t="s">
        <v>561</v>
      </c>
    </row>
    <row r="2653" spans="1:12" x14ac:dyDescent="0.25">
      <c r="I2653" t="s">
        <v>61</v>
      </c>
    </row>
    <row r="2655" spans="1:12" x14ac:dyDescent="0.25">
      <c r="I2655" t="s">
        <v>22</v>
      </c>
    </row>
    <row r="2657" spans="1:12" x14ac:dyDescent="0.25">
      <c r="A2657" s="1" t="s">
        <v>0</v>
      </c>
      <c r="B2657" s="1" t="s">
        <v>1</v>
      </c>
      <c r="C2657" s="1" t="s">
        <v>2</v>
      </c>
      <c r="D2657" s="1" t="s">
        <v>3</v>
      </c>
      <c r="E2657" s="1" t="s">
        <v>4</v>
      </c>
      <c r="F2657" s="2" t="s">
        <v>5</v>
      </c>
      <c r="G2657" s="3" t="s">
        <v>6</v>
      </c>
      <c r="H2657" s="3" t="s">
        <v>7</v>
      </c>
      <c r="I2657" s="4" t="s">
        <v>8</v>
      </c>
      <c r="J2657" s="2" t="s">
        <v>9</v>
      </c>
      <c r="K2657" s="3" t="s">
        <v>10</v>
      </c>
      <c r="L2657" s="2" t="s">
        <v>9</v>
      </c>
    </row>
    <row r="2658" spans="1:12" x14ac:dyDescent="0.25">
      <c r="A2658" s="5">
        <v>46014</v>
      </c>
      <c r="B2658" t="s">
        <v>130</v>
      </c>
      <c r="I2658" t="s">
        <v>107</v>
      </c>
      <c r="J2658" s="6">
        <v>110000</v>
      </c>
    </row>
    <row r="2659" spans="1:12" x14ac:dyDescent="0.25">
      <c r="I2659" t="s">
        <v>568</v>
      </c>
      <c r="J2659" s="6">
        <v>180000</v>
      </c>
    </row>
    <row r="2660" spans="1:12" x14ac:dyDescent="0.25">
      <c r="I2660" t="s">
        <v>134</v>
      </c>
      <c r="J2660" s="6">
        <v>60000</v>
      </c>
    </row>
    <row r="2661" spans="1:12" x14ac:dyDescent="0.25">
      <c r="I2661" t="s">
        <v>1118</v>
      </c>
      <c r="J2661" s="6">
        <v>30000</v>
      </c>
    </row>
    <row r="2663" spans="1:12" x14ac:dyDescent="0.25">
      <c r="I2663" t="s">
        <v>22</v>
      </c>
      <c r="J2663" s="6">
        <f>SUM(J2658:J2662)</f>
        <v>380000</v>
      </c>
    </row>
    <row r="2665" spans="1:12" x14ac:dyDescent="0.25">
      <c r="A2665" s="1" t="s">
        <v>0</v>
      </c>
      <c r="B2665" s="1" t="s">
        <v>1</v>
      </c>
      <c r="C2665" s="1" t="s">
        <v>2</v>
      </c>
      <c r="D2665" s="1" t="s">
        <v>3</v>
      </c>
      <c r="E2665" s="1" t="s">
        <v>4</v>
      </c>
      <c r="F2665" s="2" t="s">
        <v>5</v>
      </c>
      <c r="G2665" s="3" t="s">
        <v>6</v>
      </c>
      <c r="H2665" s="3" t="s">
        <v>7</v>
      </c>
      <c r="I2665" s="4" t="s">
        <v>8</v>
      </c>
      <c r="J2665" s="2" t="s">
        <v>9</v>
      </c>
      <c r="K2665" s="3" t="s">
        <v>10</v>
      </c>
      <c r="L2665" s="2" t="s">
        <v>9</v>
      </c>
    </row>
    <row r="2666" spans="1:12" x14ac:dyDescent="0.25">
      <c r="A2666" s="5">
        <v>46014</v>
      </c>
      <c r="B2666" t="s">
        <v>31</v>
      </c>
      <c r="C2666" t="s">
        <v>1119</v>
      </c>
      <c r="G2666" t="s">
        <v>1120</v>
      </c>
      <c r="H2666">
        <v>3127713354</v>
      </c>
      <c r="I2666" t="s">
        <v>1121</v>
      </c>
      <c r="J2666" s="6">
        <v>450000</v>
      </c>
    </row>
    <row r="2667" spans="1:12" x14ac:dyDescent="0.25">
      <c r="I2667" t="s">
        <v>61</v>
      </c>
      <c r="J2667" s="6">
        <v>350000</v>
      </c>
    </row>
    <row r="2669" spans="1:12" x14ac:dyDescent="0.25">
      <c r="I2669" t="s">
        <v>22</v>
      </c>
      <c r="J2669" s="6">
        <f>SUM(J2666:J2668)</f>
        <v>800000</v>
      </c>
    </row>
    <row r="2671" spans="1:12" x14ac:dyDescent="0.25">
      <c r="A2671" s="1" t="s">
        <v>0</v>
      </c>
      <c r="B2671" s="1" t="s">
        <v>1</v>
      </c>
      <c r="C2671" s="1" t="s">
        <v>2</v>
      </c>
      <c r="D2671" s="1" t="s">
        <v>3</v>
      </c>
      <c r="E2671" s="1" t="s">
        <v>4</v>
      </c>
      <c r="F2671" s="2" t="s">
        <v>5</v>
      </c>
      <c r="G2671" s="3" t="s">
        <v>6</v>
      </c>
      <c r="H2671" s="3" t="s">
        <v>7</v>
      </c>
      <c r="I2671" s="4" t="s">
        <v>8</v>
      </c>
      <c r="J2671" s="2" t="s">
        <v>9</v>
      </c>
      <c r="K2671" s="3" t="s">
        <v>10</v>
      </c>
      <c r="L2671" s="2" t="s">
        <v>9</v>
      </c>
    </row>
    <row r="2672" spans="1:12" x14ac:dyDescent="0.25">
      <c r="A2672" s="5">
        <v>46015</v>
      </c>
      <c r="B2672" t="s">
        <v>1122</v>
      </c>
      <c r="C2672" t="s">
        <v>1123</v>
      </c>
      <c r="D2672" t="s">
        <v>25</v>
      </c>
      <c r="E2672">
        <v>2020</v>
      </c>
      <c r="F2672" s="6">
        <v>35053</v>
      </c>
      <c r="G2672" t="s">
        <v>1143</v>
      </c>
      <c r="H2672">
        <v>3229689033</v>
      </c>
      <c r="I2672" t="s">
        <v>188</v>
      </c>
      <c r="J2672" s="6">
        <v>380000</v>
      </c>
    </row>
    <row r="2673" spans="1:12" x14ac:dyDescent="0.25">
      <c r="I2673" t="s">
        <v>1110</v>
      </c>
      <c r="J2673" s="6">
        <v>420000</v>
      </c>
    </row>
    <row r="2674" spans="1:12" x14ac:dyDescent="0.25">
      <c r="I2674" t="s">
        <v>21</v>
      </c>
      <c r="J2674" s="6">
        <v>25000</v>
      </c>
    </row>
    <row r="2676" spans="1:12" x14ac:dyDescent="0.25">
      <c r="I2676" t="s">
        <v>22</v>
      </c>
      <c r="J2676" s="6">
        <f>SUM(J2672:J2675)</f>
        <v>825000</v>
      </c>
    </row>
    <row r="2678" spans="1:12" x14ac:dyDescent="0.25">
      <c r="A2678" s="1" t="s">
        <v>0</v>
      </c>
      <c r="B2678" s="1" t="s">
        <v>1</v>
      </c>
      <c r="C2678" s="1" t="s">
        <v>2</v>
      </c>
      <c r="D2678" s="1" t="s">
        <v>3</v>
      </c>
      <c r="E2678" s="1" t="s">
        <v>4</v>
      </c>
      <c r="F2678" s="2" t="s">
        <v>5</v>
      </c>
      <c r="G2678" s="3" t="s">
        <v>6</v>
      </c>
      <c r="H2678" s="3" t="s">
        <v>7</v>
      </c>
      <c r="I2678" s="4" t="s">
        <v>8</v>
      </c>
      <c r="J2678" s="2" t="s">
        <v>9</v>
      </c>
      <c r="K2678" s="3" t="s">
        <v>10</v>
      </c>
      <c r="L2678" s="2" t="s">
        <v>9</v>
      </c>
    </row>
    <row r="2679" spans="1:12" x14ac:dyDescent="0.25">
      <c r="A2679" s="5">
        <v>46015</v>
      </c>
      <c r="B2679" t="s">
        <v>31</v>
      </c>
      <c r="C2679" t="s">
        <v>1124</v>
      </c>
      <c r="G2679" t="s">
        <v>1125</v>
      </c>
      <c r="I2679" t="s">
        <v>70</v>
      </c>
      <c r="J2679" s="6">
        <v>390000</v>
      </c>
    </row>
    <row r="2680" spans="1:12" x14ac:dyDescent="0.25">
      <c r="I2680" t="s">
        <v>21</v>
      </c>
      <c r="J2680" s="6">
        <v>25000</v>
      </c>
    </row>
    <row r="2681" spans="1:12" x14ac:dyDescent="0.25">
      <c r="I2681" t="s">
        <v>34</v>
      </c>
      <c r="J2681" s="6">
        <v>200000</v>
      </c>
    </row>
    <row r="2682" spans="1:12" x14ac:dyDescent="0.25">
      <c r="I2682" t="s">
        <v>19</v>
      </c>
      <c r="J2682" s="6">
        <v>46000</v>
      </c>
    </row>
    <row r="2683" spans="1:12" x14ac:dyDescent="0.25">
      <c r="I2683" t="s">
        <v>474</v>
      </c>
      <c r="J2683" s="6">
        <v>130000</v>
      </c>
    </row>
    <row r="2684" spans="1:12" x14ac:dyDescent="0.25">
      <c r="I2684" t="s">
        <v>122</v>
      </c>
      <c r="J2684" s="6">
        <v>150000</v>
      </c>
    </row>
    <row r="2685" spans="1:12" x14ac:dyDescent="0.25">
      <c r="I2685" t="s">
        <v>409</v>
      </c>
      <c r="J2685" s="6">
        <v>120000</v>
      </c>
    </row>
    <row r="2686" spans="1:12" x14ac:dyDescent="0.25">
      <c r="I2686" t="s">
        <v>50</v>
      </c>
      <c r="J2686" s="6">
        <v>80000</v>
      </c>
    </row>
    <row r="2688" spans="1:12" x14ac:dyDescent="0.25">
      <c r="I2688" t="s">
        <v>22</v>
      </c>
      <c r="J2688" s="6">
        <f>SUM(J2679:J2687)</f>
        <v>1141000</v>
      </c>
    </row>
    <row r="2690" spans="1:12" x14ac:dyDescent="0.25">
      <c r="A2690" s="1" t="s">
        <v>0</v>
      </c>
      <c r="B2690" s="1" t="s">
        <v>1</v>
      </c>
      <c r="C2690" s="1" t="s">
        <v>2</v>
      </c>
      <c r="D2690" s="1" t="s">
        <v>3</v>
      </c>
      <c r="E2690" s="1" t="s">
        <v>4</v>
      </c>
      <c r="F2690" s="2" t="s">
        <v>5</v>
      </c>
      <c r="G2690" s="3" t="s">
        <v>6</v>
      </c>
      <c r="H2690" s="3" t="s">
        <v>7</v>
      </c>
      <c r="I2690" s="4" t="s">
        <v>8</v>
      </c>
      <c r="J2690" s="2" t="s">
        <v>9</v>
      </c>
      <c r="K2690" s="3" t="s">
        <v>10</v>
      </c>
      <c r="L2690" s="2" t="s">
        <v>9</v>
      </c>
    </row>
    <row r="2691" spans="1:12" x14ac:dyDescent="0.25">
      <c r="A2691" s="5">
        <v>46018</v>
      </c>
      <c r="B2691" t="s">
        <v>31</v>
      </c>
      <c r="C2691" t="s">
        <v>1126</v>
      </c>
      <c r="D2691" t="s">
        <v>142</v>
      </c>
      <c r="G2691" t="s">
        <v>1127</v>
      </c>
      <c r="I2691" t="s">
        <v>1128</v>
      </c>
      <c r="J2691" s="6">
        <v>30000</v>
      </c>
    </row>
    <row r="2692" spans="1:12" x14ac:dyDescent="0.25">
      <c r="I2692" t="s">
        <v>108</v>
      </c>
      <c r="J2692" s="6">
        <v>40000</v>
      </c>
    </row>
    <row r="2693" spans="1:12" x14ac:dyDescent="0.25">
      <c r="I2693" t="s">
        <v>1129</v>
      </c>
      <c r="J2693" s="6">
        <v>40000</v>
      </c>
    </row>
    <row r="2695" spans="1:12" x14ac:dyDescent="0.25">
      <c r="I2695" t="s">
        <v>22</v>
      </c>
      <c r="J2695" s="6">
        <f>SUM(J2691:J2694)</f>
        <v>110000</v>
      </c>
    </row>
    <row r="2697" spans="1:12" x14ac:dyDescent="0.25">
      <c r="A2697" s="1" t="s">
        <v>0</v>
      </c>
      <c r="B2697" s="1" t="s">
        <v>1</v>
      </c>
      <c r="C2697" s="1" t="s">
        <v>2</v>
      </c>
      <c r="D2697" s="1" t="s">
        <v>3</v>
      </c>
      <c r="E2697" s="1" t="s">
        <v>4</v>
      </c>
      <c r="F2697" s="2" t="s">
        <v>5</v>
      </c>
      <c r="G2697" s="3" t="s">
        <v>6</v>
      </c>
      <c r="H2697" s="3" t="s">
        <v>7</v>
      </c>
      <c r="I2697" s="4" t="s">
        <v>8</v>
      </c>
      <c r="J2697" s="2" t="s">
        <v>9</v>
      </c>
      <c r="K2697" s="3" t="s">
        <v>10</v>
      </c>
      <c r="L2697" s="2" t="s">
        <v>9</v>
      </c>
    </row>
    <row r="2698" spans="1:12" x14ac:dyDescent="0.25">
      <c r="A2698" s="5">
        <v>46018</v>
      </c>
      <c r="B2698" t="s">
        <v>1130</v>
      </c>
      <c r="C2698" t="s">
        <v>1131</v>
      </c>
      <c r="D2698" t="s">
        <v>12</v>
      </c>
      <c r="F2698" s="6">
        <v>92640</v>
      </c>
      <c r="G2698" t="s">
        <v>1132</v>
      </c>
      <c r="I2698" t="s">
        <v>50</v>
      </c>
      <c r="J2698" s="6">
        <v>120000</v>
      </c>
    </row>
    <row r="2699" spans="1:12" x14ac:dyDescent="0.25">
      <c r="I2699" t="s">
        <v>16</v>
      </c>
      <c r="J2699" s="6">
        <v>10000</v>
      </c>
    </row>
    <row r="2701" spans="1:12" x14ac:dyDescent="0.25">
      <c r="I2701" t="s">
        <v>22</v>
      </c>
      <c r="J2701" s="6">
        <f>SUM(J2698:J2700)</f>
        <v>130000</v>
      </c>
    </row>
    <row r="2703" spans="1:12" x14ac:dyDescent="0.25">
      <c r="A2703" s="1" t="s">
        <v>0</v>
      </c>
      <c r="B2703" s="1" t="s">
        <v>1</v>
      </c>
      <c r="C2703" s="1" t="s">
        <v>2</v>
      </c>
      <c r="D2703" s="1" t="s">
        <v>3</v>
      </c>
      <c r="E2703" s="1" t="s">
        <v>4</v>
      </c>
      <c r="F2703" s="2" t="s">
        <v>5</v>
      </c>
      <c r="G2703" s="3" t="s">
        <v>6</v>
      </c>
      <c r="H2703" s="3" t="s">
        <v>7</v>
      </c>
      <c r="I2703" s="4" t="s">
        <v>8</v>
      </c>
      <c r="J2703" s="2" t="s">
        <v>9</v>
      </c>
      <c r="K2703" s="3" t="s">
        <v>10</v>
      </c>
      <c r="L2703" s="2" t="s">
        <v>9</v>
      </c>
    </row>
    <row r="2704" spans="1:12" x14ac:dyDescent="0.25">
      <c r="A2704" s="5">
        <v>46020</v>
      </c>
      <c r="B2704" t="s">
        <v>31</v>
      </c>
      <c r="C2704" t="s">
        <v>1133</v>
      </c>
      <c r="D2704" t="s">
        <v>12</v>
      </c>
      <c r="E2704">
        <v>2017</v>
      </c>
      <c r="F2704" s="6">
        <v>35797</v>
      </c>
      <c r="G2704" t="s">
        <v>1134</v>
      </c>
      <c r="I2704" t="s">
        <v>1135</v>
      </c>
      <c r="J2704" s="6">
        <v>80000</v>
      </c>
    </row>
    <row r="2705" spans="1:12" x14ac:dyDescent="0.25">
      <c r="C2705" t="s">
        <v>1262</v>
      </c>
      <c r="I2705" t="s">
        <v>50</v>
      </c>
      <c r="J2705" s="6">
        <v>120000</v>
      </c>
    </row>
    <row r="2706" spans="1:12" x14ac:dyDescent="0.25">
      <c r="I2706" t="s">
        <v>134</v>
      </c>
    </row>
    <row r="2708" spans="1:12" x14ac:dyDescent="0.25">
      <c r="I2708" t="s">
        <v>22</v>
      </c>
      <c r="J2708" s="6">
        <f>SUM(J2704:J2707)</f>
        <v>200000</v>
      </c>
    </row>
    <row r="2710" spans="1:12" x14ac:dyDescent="0.25">
      <c r="A2710" s="1" t="s">
        <v>0</v>
      </c>
      <c r="B2710" s="1" t="s">
        <v>1</v>
      </c>
      <c r="C2710" s="1" t="s">
        <v>2</v>
      </c>
      <c r="D2710" s="1" t="s">
        <v>3</v>
      </c>
      <c r="E2710" s="1" t="s">
        <v>4</v>
      </c>
      <c r="F2710" s="2" t="s">
        <v>5</v>
      </c>
      <c r="G2710" s="3" t="s">
        <v>6</v>
      </c>
      <c r="H2710" s="3" t="s">
        <v>7</v>
      </c>
      <c r="I2710" s="4" t="s">
        <v>8</v>
      </c>
      <c r="J2710" s="2" t="s">
        <v>9</v>
      </c>
      <c r="K2710" s="3" t="s">
        <v>10</v>
      </c>
      <c r="L2710" s="2" t="s">
        <v>9</v>
      </c>
    </row>
    <row r="2711" spans="1:12" x14ac:dyDescent="0.25">
      <c r="A2711" s="5">
        <v>46020</v>
      </c>
      <c r="B2711" t="s">
        <v>31</v>
      </c>
      <c r="C2711" t="s">
        <v>1136</v>
      </c>
      <c r="D2711" t="s">
        <v>12</v>
      </c>
      <c r="E2711">
        <v>2017</v>
      </c>
      <c r="F2711" s="6">
        <v>93748</v>
      </c>
      <c r="G2711" t="s">
        <v>1137</v>
      </c>
      <c r="H2711">
        <v>3138525405</v>
      </c>
      <c r="I2711" t="s">
        <v>16</v>
      </c>
      <c r="J2711" s="6">
        <v>80000</v>
      </c>
    </row>
    <row r="2712" spans="1:12" x14ac:dyDescent="0.25">
      <c r="I2712" t="s">
        <v>35</v>
      </c>
      <c r="J2712" s="6">
        <v>150000</v>
      </c>
    </row>
    <row r="2713" spans="1:12" x14ac:dyDescent="0.25">
      <c r="I2713" t="s">
        <v>525</v>
      </c>
      <c r="J2713" s="6">
        <v>280000</v>
      </c>
    </row>
    <row r="2715" spans="1:12" x14ac:dyDescent="0.25">
      <c r="I2715" t="s">
        <v>22</v>
      </c>
      <c r="J2715" s="6">
        <f>SUM(J2711:J2714)</f>
        <v>510000</v>
      </c>
    </row>
    <row r="2717" spans="1:12" x14ac:dyDescent="0.25">
      <c r="A2717" s="1" t="s">
        <v>0</v>
      </c>
      <c r="B2717" s="1" t="s">
        <v>1</v>
      </c>
      <c r="C2717" s="1" t="s">
        <v>2</v>
      </c>
      <c r="D2717" s="1" t="s">
        <v>3</v>
      </c>
      <c r="E2717" s="1" t="s">
        <v>4</v>
      </c>
      <c r="F2717" s="2" t="s">
        <v>5</v>
      </c>
      <c r="G2717" s="3" t="s">
        <v>6</v>
      </c>
      <c r="H2717" s="3" t="s">
        <v>7</v>
      </c>
      <c r="I2717" s="4" t="s">
        <v>8</v>
      </c>
      <c r="J2717" s="2" t="s">
        <v>9</v>
      </c>
      <c r="K2717" s="3" t="s">
        <v>10</v>
      </c>
      <c r="L2717" s="2" t="s">
        <v>9</v>
      </c>
    </row>
    <row r="2718" spans="1:12" x14ac:dyDescent="0.25">
      <c r="A2718" s="5">
        <v>46018</v>
      </c>
      <c r="B2718" t="s">
        <v>1138</v>
      </c>
      <c r="C2718" t="s">
        <v>1139</v>
      </c>
      <c r="D2718" t="s">
        <v>227</v>
      </c>
      <c r="E2718">
        <v>2015</v>
      </c>
      <c r="F2718" s="6">
        <v>29591</v>
      </c>
      <c r="G2718" t="s">
        <v>1142</v>
      </c>
      <c r="H2718">
        <v>3173651889</v>
      </c>
      <c r="I2718" t="s">
        <v>34</v>
      </c>
      <c r="J2718" s="6">
        <v>228000</v>
      </c>
    </row>
    <row r="2719" spans="1:12" x14ac:dyDescent="0.25">
      <c r="I2719" t="s">
        <v>19</v>
      </c>
      <c r="J2719" s="6">
        <v>46000</v>
      </c>
    </row>
    <row r="2720" spans="1:12" x14ac:dyDescent="0.25">
      <c r="I2720" t="s">
        <v>1140</v>
      </c>
      <c r="J2720" s="6">
        <v>170000</v>
      </c>
    </row>
    <row r="2721" spans="1:12" x14ac:dyDescent="0.25">
      <c r="I2721" t="s">
        <v>61</v>
      </c>
      <c r="J2721" s="6">
        <v>350000</v>
      </c>
    </row>
    <row r="2722" spans="1:12" x14ac:dyDescent="0.25">
      <c r="I2722" t="s">
        <v>1141</v>
      </c>
      <c r="J2722" s="6">
        <v>20000</v>
      </c>
    </row>
    <row r="2724" spans="1:12" x14ac:dyDescent="0.25">
      <c r="I2724" t="s">
        <v>22</v>
      </c>
      <c r="J2724" s="6">
        <f>SUM(J2718:J2723)</f>
        <v>814000</v>
      </c>
    </row>
    <row r="2726" spans="1:12" x14ac:dyDescent="0.25">
      <c r="A2726" s="1" t="s">
        <v>0</v>
      </c>
      <c r="B2726" s="1" t="s">
        <v>1</v>
      </c>
      <c r="C2726" s="1" t="s">
        <v>2</v>
      </c>
      <c r="D2726" s="1" t="s">
        <v>3</v>
      </c>
      <c r="E2726" s="1" t="s">
        <v>4</v>
      </c>
      <c r="F2726" s="2" t="s">
        <v>5</v>
      </c>
      <c r="G2726" s="3" t="s">
        <v>6</v>
      </c>
      <c r="H2726" s="3" t="s">
        <v>7</v>
      </c>
      <c r="I2726" s="4" t="s">
        <v>8</v>
      </c>
      <c r="J2726" s="2" t="s">
        <v>9</v>
      </c>
      <c r="K2726" s="3" t="s">
        <v>10</v>
      </c>
      <c r="L2726" s="2" t="s">
        <v>9</v>
      </c>
    </row>
    <row r="2727" spans="1:12" x14ac:dyDescent="0.25">
      <c r="A2727" s="5">
        <v>46019</v>
      </c>
      <c r="B2727" t="s">
        <v>1149</v>
      </c>
      <c r="C2727" t="s">
        <v>1150</v>
      </c>
      <c r="D2727" t="s">
        <v>45</v>
      </c>
      <c r="F2727" s="6">
        <v>58420</v>
      </c>
      <c r="G2727" t="s">
        <v>1151</v>
      </c>
      <c r="I2727" t="s">
        <v>767</v>
      </c>
      <c r="J2727" s="6">
        <v>1200000</v>
      </c>
    </row>
    <row r="2728" spans="1:12" x14ac:dyDescent="0.25">
      <c r="I2728" t="s">
        <v>1152</v>
      </c>
    </row>
    <row r="2729" spans="1:12" x14ac:dyDescent="0.25">
      <c r="I2729" t="s">
        <v>1153</v>
      </c>
    </row>
    <row r="2730" spans="1:12" x14ac:dyDescent="0.25">
      <c r="I2730" t="s">
        <v>63</v>
      </c>
      <c r="J2730" s="6">
        <v>228000</v>
      </c>
    </row>
    <row r="2731" spans="1:12" x14ac:dyDescent="0.25">
      <c r="I2731" t="s">
        <v>21</v>
      </c>
      <c r="J2731" s="6">
        <v>25000</v>
      </c>
    </row>
    <row r="2732" spans="1:12" x14ac:dyDescent="0.25">
      <c r="I2732" t="s">
        <v>19</v>
      </c>
      <c r="J2732" s="6">
        <v>46000</v>
      </c>
    </row>
    <row r="2733" spans="1:12" x14ac:dyDescent="0.25">
      <c r="I2733" t="s">
        <v>166</v>
      </c>
      <c r="J2733" s="6">
        <v>80000</v>
      </c>
    </row>
    <row r="2734" spans="1:12" x14ac:dyDescent="0.25">
      <c r="I2734" t="s">
        <v>146</v>
      </c>
      <c r="J2734" s="6">
        <v>25000</v>
      </c>
    </row>
    <row r="2736" spans="1:12" x14ac:dyDescent="0.25">
      <c r="I2736" t="s">
        <v>22</v>
      </c>
      <c r="J2736" s="6">
        <f>SUM(J2727:J2735)</f>
        <v>1604000</v>
      </c>
    </row>
    <row r="2738" spans="1:12" x14ac:dyDescent="0.25">
      <c r="A2738" s="1" t="s">
        <v>0</v>
      </c>
      <c r="B2738" s="1" t="s">
        <v>1</v>
      </c>
      <c r="C2738" s="1" t="s">
        <v>2</v>
      </c>
      <c r="D2738" s="1" t="s">
        <v>3</v>
      </c>
      <c r="E2738" s="1" t="s">
        <v>4</v>
      </c>
      <c r="F2738" s="2" t="s">
        <v>5</v>
      </c>
      <c r="G2738" s="3" t="s">
        <v>6</v>
      </c>
      <c r="H2738" s="3" t="s">
        <v>7</v>
      </c>
      <c r="I2738" s="4" t="s">
        <v>8</v>
      </c>
      <c r="J2738" s="2" t="s">
        <v>9</v>
      </c>
      <c r="K2738" s="3" t="s">
        <v>10</v>
      </c>
      <c r="L2738" s="2" t="s">
        <v>9</v>
      </c>
    </row>
    <row r="2739" spans="1:12" x14ac:dyDescent="0.25">
      <c r="A2739" s="5">
        <v>46019</v>
      </c>
      <c r="B2739" t="s">
        <v>190</v>
      </c>
      <c r="C2739" t="s">
        <v>1165</v>
      </c>
      <c r="D2739" t="s">
        <v>25</v>
      </c>
      <c r="E2739">
        <v>2024</v>
      </c>
      <c r="F2739" s="6">
        <v>16478</v>
      </c>
      <c r="G2739" t="s">
        <v>1166</v>
      </c>
      <c r="H2739">
        <v>3133537593</v>
      </c>
      <c r="I2739" t="s">
        <v>70</v>
      </c>
      <c r="J2739" s="6">
        <v>280000</v>
      </c>
    </row>
    <row r="2740" spans="1:12" x14ac:dyDescent="0.25">
      <c r="I2740" t="s">
        <v>34</v>
      </c>
      <c r="J2740" s="6">
        <v>67200</v>
      </c>
    </row>
    <row r="2741" spans="1:12" x14ac:dyDescent="0.25">
      <c r="I2741" t="s">
        <v>21</v>
      </c>
      <c r="J2741" s="6">
        <v>25000</v>
      </c>
    </row>
    <row r="2742" spans="1:12" x14ac:dyDescent="0.25">
      <c r="I2742" t="s">
        <v>19</v>
      </c>
      <c r="J2742" s="6">
        <v>18000</v>
      </c>
    </row>
    <row r="2744" spans="1:12" x14ac:dyDescent="0.25">
      <c r="I2744" t="s">
        <v>22</v>
      </c>
      <c r="J2744" s="6">
        <f>SUM(J2739:J2743)</f>
        <v>390200</v>
      </c>
    </row>
    <row r="2746" spans="1:12" x14ac:dyDescent="0.25">
      <c r="A2746" s="1" t="s">
        <v>0</v>
      </c>
      <c r="B2746" s="1" t="s">
        <v>1</v>
      </c>
      <c r="C2746" s="1" t="s">
        <v>2</v>
      </c>
      <c r="D2746" s="1" t="s">
        <v>3</v>
      </c>
      <c r="E2746" s="1" t="s">
        <v>4</v>
      </c>
      <c r="F2746" s="2" t="s">
        <v>5</v>
      </c>
      <c r="G2746" s="3" t="s">
        <v>6</v>
      </c>
      <c r="H2746" s="3" t="s">
        <v>7</v>
      </c>
      <c r="I2746" s="4" t="s">
        <v>8</v>
      </c>
      <c r="J2746" s="2" t="s">
        <v>9</v>
      </c>
      <c r="K2746" s="3" t="s">
        <v>10</v>
      </c>
      <c r="L2746" s="2" t="s">
        <v>9</v>
      </c>
    </row>
    <row r="2747" spans="1:12" x14ac:dyDescent="0.25">
      <c r="A2747" s="5">
        <v>46019</v>
      </c>
      <c r="B2747" t="s">
        <v>136</v>
      </c>
      <c r="C2747" t="s">
        <v>1255</v>
      </c>
      <c r="D2747" t="s">
        <v>248</v>
      </c>
      <c r="F2747" s="6">
        <v>29444</v>
      </c>
      <c r="G2747" t="s">
        <v>1256</v>
      </c>
      <c r="H2747">
        <v>3046083880</v>
      </c>
      <c r="I2747" t="s">
        <v>1257</v>
      </c>
    </row>
    <row r="2749" spans="1:12" x14ac:dyDescent="0.25">
      <c r="I2749" t="s">
        <v>22</v>
      </c>
    </row>
    <row r="2751" spans="1:12" x14ac:dyDescent="0.25">
      <c r="A2751" s="1" t="s">
        <v>0</v>
      </c>
      <c r="B2751" s="1" t="s">
        <v>1</v>
      </c>
      <c r="C2751" s="1" t="s">
        <v>2</v>
      </c>
      <c r="D2751" s="1" t="s">
        <v>3</v>
      </c>
      <c r="E2751" s="1" t="s">
        <v>4</v>
      </c>
      <c r="F2751" s="2" t="s">
        <v>5</v>
      </c>
      <c r="G2751" s="3" t="s">
        <v>6</v>
      </c>
      <c r="H2751" s="3" t="s">
        <v>7</v>
      </c>
      <c r="I2751" s="4" t="s">
        <v>8</v>
      </c>
      <c r="J2751" s="2" t="s">
        <v>9</v>
      </c>
      <c r="K2751" s="3" t="s">
        <v>10</v>
      </c>
      <c r="L2751" s="2" t="s">
        <v>9</v>
      </c>
    </row>
    <row r="2752" spans="1:12" x14ac:dyDescent="0.25">
      <c r="A2752" s="5">
        <v>46021</v>
      </c>
      <c r="B2752" t="s">
        <v>1130</v>
      </c>
      <c r="C2752" t="s">
        <v>1154</v>
      </c>
      <c r="D2752" t="s">
        <v>45</v>
      </c>
      <c r="F2752" s="6">
        <v>60000</v>
      </c>
      <c r="G2752" t="s">
        <v>1155</v>
      </c>
      <c r="I2752" t="s">
        <v>34</v>
      </c>
      <c r="J2752" s="6">
        <v>165000</v>
      </c>
    </row>
    <row r="2753" spans="1:12" x14ac:dyDescent="0.25">
      <c r="I2753" t="s">
        <v>19</v>
      </c>
      <c r="J2753" s="6">
        <v>46000</v>
      </c>
    </row>
    <row r="2754" spans="1:12" x14ac:dyDescent="0.25">
      <c r="I2754" t="s">
        <v>553</v>
      </c>
      <c r="J2754" s="6">
        <v>60000</v>
      </c>
    </row>
    <row r="2755" spans="1:12" x14ac:dyDescent="0.25">
      <c r="I2755" t="s">
        <v>472</v>
      </c>
      <c r="J2755" s="6">
        <v>38000</v>
      </c>
    </row>
    <row r="2756" spans="1:12" x14ac:dyDescent="0.25">
      <c r="I2756" t="s">
        <v>146</v>
      </c>
      <c r="J2756" s="6">
        <v>25000</v>
      </c>
    </row>
    <row r="2757" spans="1:12" x14ac:dyDescent="0.25">
      <c r="I2757" t="s">
        <v>61</v>
      </c>
      <c r="J2757" s="6">
        <v>40000</v>
      </c>
    </row>
    <row r="2759" spans="1:12" x14ac:dyDescent="0.25">
      <c r="I2759" t="s">
        <v>22</v>
      </c>
      <c r="J2759" s="6">
        <f>SUM(J2752:J2758)</f>
        <v>374000</v>
      </c>
    </row>
    <row r="2761" spans="1:12" x14ac:dyDescent="0.25">
      <c r="A2761" s="1" t="s">
        <v>0</v>
      </c>
      <c r="B2761" s="1" t="s">
        <v>1</v>
      </c>
      <c r="C2761" s="1" t="s">
        <v>2</v>
      </c>
      <c r="D2761" s="1" t="s">
        <v>3</v>
      </c>
      <c r="E2761" s="1" t="s">
        <v>4</v>
      </c>
      <c r="F2761" s="2" t="s">
        <v>5</v>
      </c>
      <c r="G2761" s="3" t="s">
        <v>6</v>
      </c>
      <c r="H2761" s="3" t="s">
        <v>7</v>
      </c>
      <c r="I2761" s="4" t="s">
        <v>8</v>
      </c>
      <c r="J2761" s="2" t="s">
        <v>9</v>
      </c>
      <c r="K2761" s="3" t="s">
        <v>10</v>
      </c>
      <c r="L2761" s="2" t="s">
        <v>9</v>
      </c>
    </row>
    <row r="2762" spans="1:12" x14ac:dyDescent="0.25">
      <c r="A2762" s="5">
        <v>46021</v>
      </c>
      <c r="B2762" t="s">
        <v>31</v>
      </c>
      <c r="C2762" t="s">
        <v>1251</v>
      </c>
      <c r="D2762" t="s">
        <v>45</v>
      </c>
      <c r="F2762" s="6">
        <v>63012</v>
      </c>
      <c r="G2762" t="s">
        <v>1252</v>
      </c>
      <c r="I2762" t="s">
        <v>1253</v>
      </c>
    </row>
    <row r="2763" spans="1:12" x14ac:dyDescent="0.25">
      <c r="I2763" t="s">
        <v>19</v>
      </c>
    </row>
    <row r="2764" spans="1:12" x14ac:dyDescent="0.25">
      <c r="I2764" t="s">
        <v>1254</v>
      </c>
    </row>
    <row r="2765" spans="1:12" x14ac:dyDescent="0.25">
      <c r="I2765" t="s">
        <v>122</v>
      </c>
    </row>
    <row r="2766" spans="1:12" x14ac:dyDescent="0.25">
      <c r="I2766" t="s">
        <v>21</v>
      </c>
    </row>
    <row r="2768" spans="1:12" x14ac:dyDescent="0.25">
      <c r="I2768" t="s">
        <v>22</v>
      </c>
    </row>
    <row r="2770" spans="1:12" x14ac:dyDescent="0.25">
      <c r="A2770" s="1" t="s">
        <v>0</v>
      </c>
      <c r="B2770" s="1" t="s">
        <v>1</v>
      </c>
      <c r="C2770" s="1" t="s">
        <v>2</v>
      </c>
      <c r="D2770" s="1" t="s">
        <v>3</v>
      </c>
      <c r="E2770" s="1" t="s">
        <v>4</v>
      </c>
      <c r="F2770" s="2" t="s">
        <v>5</v>
      </c>
      <c r="G2770" s="3" t="s">
        <v>6</v>
      </c>
      <c r="H2770" s="3" t="s">
        <v>7</v>
      </c>
      <c r="I2770" s="4" t="s">
        <v>8</v>
      </c>
      <c r="J2770" s="2" t="s">
        <v>9</v>
      </c>
      <c r="K2770" s="3" t="s">
        <v>10</v>
      </c>
      <c r="L2770" s="2" t="s">
        <v>9</v>
      </c>
    </row>
    <row r="2771" spans="1:12" x14ac:dyDescent="0.25">
      <c r="A2771" s="5">
        <v>46021</v>
      </c>
      <c r="B2771" t="s">
        <v>31</v>
      </c>
      <c r="C2771" t="s">
        <v>1248</v>
      </c>
      <c r="D2771" t="s">
        <v>25</v>
      </c>
      <c r="G2771" t="s">
        <v>1249</v>
      </c>
      <c r="I2771" t="s">
        <v>122</v>
      </c>
    </row>
    <row r="2772" spans="1:12" x14ac:dyDescent="0.25">
      <c r="I2772" t="s">
        <v>1250</v>
      </c>
    </row>
    <row r="2774" spans="1:12" x14ac:dyDescent="0.25">
      <c r="I2774" t="s">
        <v>22</v>
      </c>
    </row>
    <row r="2776" spans="1:12" x14ac:dyDescent="0.25">
      <c r="A2776" s="1" t="s">
        <v>0</v>
      </c>
      <c r="B2776" s="1" t="s">
        <v>1</v>
      </c>
      <c r="C2776" s="1" t="s">
        <v>2</v>
      </c>
      <c r="D2776" s="1" t="s">
        <v>3</v>
      </c>
      <c r="E2776" s="1" t="s">
        <v>4</v>
      </c>
      <c r="F2776" s="2" t="s">
        <v>5</v>
      </c>
      <c r="G2776" s="3" t="s">
        <v>6</v>
      </c>
      <c r="H2776" s="3" t="s">
        <v>7</v>
      </c>
      <c r="I2776" s="4" t="s">
        <v>8</v>
      </c>
      <c r="J2776" s="2" t="s">
        <v>9</v>
      </c>
      <c r="K2776" s="3" t="s">
        <v>10</v>
      </c>
      <c r="L2776" s="2" t="s">
        <v>9</v>
      </c>
    </row>
    <row r="2777" spans="1:12" x14ac:dyDescent="0.25">
      <c r="A2777" s="5">
        <v>46022</v>
      </c>
      <c r="B2777" t="s">
        <v>130</v>
      </c>
      <c r="C2777" t="s">
        <v>1156</v>
      </c>
      <c r="F2777" s="6">
        <v>54831</v>
      </c>
      <c r="G2777" t="s">
        <v>1157</v>
      </c>
      <c r="I2777" t="s">
        <v>70</v>
      </c>
      <c r="J2777" s="6">
        <v>400000</v>
      </c>
    </row>
    <row r="2778" spans="1:12" x14ac:dyDescent="0.25">
      <c r="I2778" t="s">
        <v>1158</v>
      </c>
    </row>
    <row r="2779" spans="1:12" x14ac:dyDescent="0.25">
      <c r="I2779" t="s">
        <v>1159</v>
      </c>
      <c r="J2779" s="6">
        <v>1000000</v>
      </c>
    </row>
    <row r="2780" spans="1:12" x14ac:dyDescent="0.25">
      <c r="I2780" t="s">
        <v>34</v>
      </c>
      <c r="J2780" s="6">
        <v>224000</v>
      </c>
    </row>
    <row r="2781" spans="1:12" x14ac:dyDescent="0.25">
      <c r="I2781" t="s">
        <v>19</v>
      </c>
      <c r="J2781" s="6">
        <v>68000</v>
      </c>
    </row>
    <row r="2782" spans="1:12" x14ac:dyDescent="0.25">
      <c r="I2782" t="s">
        <v>1160</v>
      </c>
      <c r="J2782" s="6">
        <v>300000</v>
      </c>
    </row>
    <row r="2783" spans="1:12" x14ac:dyDescent="0.25">
      <c r="I2783" t="s">
        <v>107</v>
      </c>
      <c r="J2783" s="6">
        <v>100000</v>
      </c>
    </row>
    <row r="2785" spans="1:12" x14ac:dyDescent="0.25">
      <c r="I2785" t="s">
        <v>22</v>
      </c>
      <c r="J2785" s="6">
        <f>SUM(J2777:J2784)</f>
        <v>2092000</v>
      </c>
    </row>
    <row r="2787" spans="1:12" x14ac:dyDescent="0.25">
      <c r="A2787" s="1" t="s">
        <v>0</v>
      </c>
      <c r="B2787" s="1" t="s">
        <v>1</v>
      </c>
      <c r="C2787" s="1" t="s">
        <v>2</v>
      </c>
      <c r="D2787" s="1" t="s">
        <v>3</v>
      </c>
      <c r="E2787" s="1" t="s">
        <v>4</v>
      </c>
      <c r="F2787" s="2" t="s">
        <v>5</v>
      </c>
      <c r="G2787" s="3" t="s">
        <v>6</v>
      </c>
      <c r="H2787" s="3" t="s">
        <v>7</v>
      </c>
      <c r="I2787" s="4" t="s">
        <v>8</v>
      </c>
      <c r="J2787" s="2" t="s">
        <v>9</v>
      </c>
      <c r="K2787" s="3" t="s">
        <v>10</v>
      </c>
      <c r="L2787" s="2" t="s">
        <v>9</v>
      </c>
    </row>
    <row r="2788" spans="1:12" x14ac:dyDescent="0.25">
      <c r="A2788" s="5">
        <v>46022</v>
      </c>
      <c r="B2788" t="s">
        <v>31</v>
      </c>
      <c r="C2788" t="s">
        <v>1161</v>
      </c>
      <c r="D2788" t="s">
        <v>25</v>
      </c>
      <c r="F2788" s="6">
        <v>145567</v>
      </c>
      <c r="G2788" t="s">
        <v>1162</v>
      </c>
      <c r="I2788" t="s">
        <v>34</v>
      </c>
      <c r="J2788" s="6">
        <v>168000</v>
      </c>
      <c r="K2788">
        <v>32000</v>
      </c>
    </row>
    <row r="2789" spans="1:12" x14ac:dyDescent="0.25">
      <c r="I2789" t="s">
        <v>19</v>
      </c>
      <c r="J2789" s="6">
        <v>46000</v>
      </c>
    </row>
    <row r="2790" spans="1:12" x14ac:dyDescent="0.25">
      <c r="I2790" t="s">
        <v>36</v>
      </c>
      <c r="J2790" s="6">
        <v>190000</v>
      </c>
    </row>
    <row r="2791" spans="1:12" x14ac:dyDescent="0.25">
      <c r="I2791" t="s">
        <v>711</v>
      </c>
      <c r="J2791" s="6">
        <v>850000</v>
      </c>
    </row>
    <row r="2792" spans="1:12" x14ac:dyDescent="0.25">
      <c r="I2792" t="s">
        <v>426</v>
      </c>
      <c r="J2792" s="6">
        <v>250000</v>
      </c>
    </row>
    <row r="2793" spans="1:12" x14ac:dyDescent="0.25">
      <c r="I2793" t="s">
        <v>609</v>
      </c>
      <c r="J2793" s="6">
        <v>270000</v>
      </c>
    </row>
    <row r="2794" spans="1:12" x14ac:dyDescent="0.25">
      <c r="I2794" t="s">
        <v>429</v>
      </c>
      <c r="J2794" s="6">
        <v>144000</v>
      </c>
    </row>
    <row r="2795" spans="1:12" x14ac:dyDescent="0.25">
      <c r="I2795" t="s">
        <v>551</v>
      </c>
      <c r="J2795" s="6">
        <v>846000</v>
      </c>
    </row>
    <row r="2796" spans="1:12" x14ac:dyDescent="0.25">
      <c r="I2796" t="s">
        <v>182</v>
      </c>
      <c r="J2796" s="6">
        <v>248000</v>
      </c>
    </row>
    <row r="2797" spans="1:12" x14ac:dyDescent="0.25">
      <c r="I2797" t="s">
        <v>1163</v>
      </c>
      <c r="J2797" s="6">
        <v>200000</v>
      </c>
    </row>
    <row r="2798" spans="1:12" x14ac:dyDescent="0.25">
      <c r="I2798" t="s">
        <v>1164</v>
      </c>
      <c r="J2798" s="6">
        <v>45000</v>
      </c>
    </row>
    <row r="2799" spans="1:12" x14ac:dyDescent="0.25">
      <c r="I2799" t="s">
        <v>1030</v>
      </c>
      <c r="J2799" s="6">
        <v>60000</v>
      </c>
    </row>
    <row r="2801" spans="9:10" x14ac:dyDescent="0.25">
      <c r="I2801" t="s">
        <v>22</v>
      </c>
      <c r="J2801" s="6">
        <f>SUM(J2788:J2800)</f>
        <v>3317000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26" sqref="C26"/>
    </sheetView>
  </sheetViews>
  <sheetFormatPr baseColWidth="10" defaultRowHeight="15" x14ac:dyDescent="0.25"/>
  <cols>
    <col min="3" max="3" width="13" customWidth="1"/>
  </cols>
  <sheetData>
    <row r="1" spans="1:4" x14ac:dyDescent="0.25">
      <c r="A1" t="s">
        <v>279</v>
      </c>
      <c r="B1" s="6">
        <f>9805050/1.19</f>
        <v>8239537.8151260512</v>
      </c>
      <c r="C1" s="7">
        <v>2.5000000000000001E-2</v>
      </c>
      <c r="D1" s="8">
        <f>B1*C1</f>
        <v>205988.44537815129</v>
      </c>
    </row>
    <row r="2" spans="1:4" x14ac:dyDescent="0.25">
      <c r="A2" t="s">
        <v>280</v>
      </c>
      <c r="B2" s="6">
        <f>B1*19%</f>
        <v>1565512.1848739497</v>
      </c>
      <c r="C2" s="7">
        <v>1.1039999999999999E-3</v>
      </c>
      <c r="D2" s="9">
        <f>B1*C2</f>
        <v>9096.4497478991598</v>
      </c>
    </row>
    <row r="3" spans="1:4" x14ac:dyDescent="0.25">
      <c r="B3" s="6">
        <v>40000</v>
      </c>
    </row>
    <row r="4" spans="1:4" x14ac:dyDescent="0.25">
      <c r="B4" s="6"/>
      <c r="C4" s="8">
        <f>B1+B2-D1-D2</f>
        <v>9589965.1048739497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TecnomotosHB</dc:creator>
  <cp:lastModifiedBy>TecnomotosHB</cp:lastModifiedBy>
  <dcterms:created xsi:type="dcterms:W3CDTF">2025-09-03T22:40:42Z</dcterms:created>
  <dcterms:modified xsi:type="dcterms:W3CDTF">2026-06-22T22:57:13Z</dcterms:modified>
</cp:coreProperties>
</file>