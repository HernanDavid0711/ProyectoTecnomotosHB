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290" i="1" l="1"/>
  <c r="I30" i="2" l="1"/>
  <c r="J1851" i="1" l="1"/>
  <c r="J2499" i="1"/>
  <c r="J2371" i="1"/>
  <c r="J1277" i="1" l="1"/>
  <c r="J1229" i="1"/>
  <c r="J1006" i="1"/>
  <c r="J2746" i="1"/>
  <c r="J2781" i="1" l="1"/>
  <c r="J2770" i="1"/>
  <c r="J2753" i="1"/>
  <c r="J2738" i="1"/>
  <c r="J2725" i="1"/>
  <c r="J2715" i="1"/>
  <c r="J2705" i="1"/>
  <c r="J2693" i="1"/>
  <c r="J2685" i="1"/>
  <c r="J2678" i="1"/>
  <c r="J2669" i="1"/>
  <c r="J2658" i="1"/>
  <c r="J2649" i="1"/>
  <c r="J2634" i="1"/>
  <c r="J2627" i="1"/>
  <c r="J2621" i="1"/>
  <c r="J2613" i="1"/>
  <c r="J2606" i="1"/>
  <c r="J2591" i="1"/>
  <c r="J2574" i="1"/>
  <c r="J2566" i="1"/>
  <c r="J2545" i="1"/>
  <c r="J2528" i="1"/>
  <c r="J2521" i="1"/>
  <c r="J2513" i="1"/>
  <c r="J2492" i="1"/>
  <c r="J2472" i="1"/>
  <c r="J2456" i="1"/>
  <c r="J2441" i="1"/>
  <c r="J2434" i="1"/>
  <c r="J2413" i="1"/>
  <c r="J2407" i="1"/>
  <c r="J2400" i="1"/>
  <c r="J2393" i="1"/>
  <c r="J2385" i="1"/>
  <c r="J2363" i="1" l="1"/>
  <c r="J2355" i="1"/>
  <c r="J2334" i="1"/>
  <c r="J2342" i="1"/>
  <c r="J2324" i="1"/>
  <c r="J2304" i="1"/>
  <c r="B6" i="2" l="1"/>
  <c r="B8" i="2" s="1"/>
  <c r="B4" i="2"/>
  <c r="B3" i="2"/>
  <c r="J2297" i="1" l="1"/>
  <c r="J2290" i="1"/>
  <c r="J2282" i="1"/>
  <c r="J2255" i="1"/>
  <c r="J2242" i="1"/>
  <c r="J2227" i="1"/>
  <c r="J2425" i="1" l="1"/>
  <c r="J2265" i="1"/>
  <c r="J2216" i="1"/>
  <c r="J2209" i="1"/>
  <c r="J2203" i="1"/>
  <c r="J2196" i="1"/>
  <c r="J2188" i="1"/>
  <c r="J2181" i="1"/>
  <c r="J2161" i="1"/>
  <c r="J2148" i="1"/>
  <c r="J2014" i="1"/>
  <c r="J1102" i="1"/>
  <c r="J1998" i="1" l="1"/>
  <c r="J2114" i="1"/>
  <c r="J2092" i="1"/>
  <c r="J2086" i="1"/>
  <c r="J2040" i="1"/>
  <c r="J2021" i="1"/>
  <c r="J1984" i="1"/>
  <c r="J2069" i="1"/>
  <c r="J2054" i="1"/>
  <c r="J2105" i="1" l="1"/>
  <c r="J1969" i="1"/>
  <c r="J1953" i="1"/>
  <c r="J1946" i="1"/>
  <c r="J1927" i="1" l="1"/>
  <c r="J1921" i="1" l="1"/>
  <c r="J1914" i="1"/>
  <c r="J1908" i="1"/>
  <c r="J1898" i="1"/>
  <c r="J1881" i="1"/>
  <c r="J1870" i="1"/>
  <c r="J1860" i="1"/>
  <c r="J1843" i="1"/>
  <c r="J1836" i="1"/>
  <c r="J1829" i="1"/>
  <c r="J1812" i="1"/>
  <c r="J1804" i="1"/>
  <c r="J1796" i="1"/>
  <c r="J1787" i="1"/>
  <c r="J1761" i="1"/>
  <c r="J1749" i="1"/>
  <c r="J2133" i="1"/>
  <c r="J1780" i="1"/>
  <c r="J1771" i="1"/>
  <c r="J1714" i="1"/>
  <c r="J1705" i="1"/>
  <c r="J1699" i="1"/>
  <c r="J1742" i="1"/>
  <c r="J1684" i="1" l="1"/>
  <c r="J1939" i="1" l="1"/>
  <c r="J1677" i="1"/>
  <c r="J1638" i="1" l="1"/>
  <c r="J1647" i="1" l="1"/>
  <c r="J1722" i="1"/>
  <c r="J1619" i="1"/>
  <c r="J1611" i="1"/>
  <c r="J1600" i="1"/>
  <c r="J1589" i="1"/>
  <c r="J1572" i="1"/>
  <c r="J1564" i="1"/>
  <c r="J1557" i="1"/>
  <c r="J1534" i="1"/>
  <c r="J1517" i="1"/>
  <c r="J1507" i="1"/>
  <c r="J1528" i="1"/>
  <c r="J1500" i="1"/>
  <c r="J1492" i="1"/>
  <c r="J1480" i="1"/>
  <c r="J1470" i="1"/>
  <c r="J1463" i="1"/>
  <c r="J1451" i="1" l="1"/>
  <c r="J1394" i="1"/>
  <c r="J1547" i="1"/>
  <c r="J1386" i="1"/>
  <c r="J1380" i="1"/>
  <c r="J1328" i="1"/>
  <c r="J1318" i="1"/>
  <c r="J1312" i="1"/>
  <c r="J1305" i="1"/>
  <c r="J1297" i="1"/>
  <c r="J1267" i="1"/>
  <c r="J1255" i="1"/>
  <c r="J1248" i="1"/>
  <c r="J1373" i="1"/>
  <c r="J1441" i="1"/>
  <c r="J1366" i="1"/>
  <c r="J1354" i="1"/>
  <c r="J1072" i="1"/>
  <c r="J1346" i="1"/>
  <c r="J1669" i="1" l="1"/>
  <c r="J1339" i="1"/>
  <c r="J1434" i="1" l="1"/>
  <c r="J1240" i="1"/>
  <c r="J1221" i="1"/>
  <c r="J1213" i="1"/>
  <c r="J1414" i="1"/>
  <c r="J1204" i="1"/>
  <c r="J1196" i="1"/>
  <c r="J1186" i="1"/>
  <c r="J1163" i="1"/>
  <c r="J1153" i="1"/>
  <c r="J1146" i="1"/>
  <c r="J1132" i="1"/>
  <c r="J1123" i="1"/>
  <c r="J1116" i="1"/>
  <c r="J1079" i="1"/>
  <c r="J1064" i="1"/>
  <c r="J1030" i="1"/>
  <c r="J977" i="1"/>
  <c r="J969" i="1"/>
  <c r="J956" i="1"/>
  <c r="J944" i="1"/>
  <c r="J916" i="1" l="1"/>
  <c r="J831" i="1"/>
  <c r="J1051" i="1"/>
  <c r="J1041" i="1"/>
  <c r="J626" i="1" l="1"/>
  <c r="J540" i="1"/>
  <c r="J906" i="1"/>
  <c r="J883" i="1" l="1"/>
  <c r="J855" i="1"/>
  <c r="J824" i="1"/>
  <c r="J845" i="1"/>
  <c r="J807" i="1"/>
  <c r="J813" i="1"/>
  <c r="J897" i="1"/>
  <c r="J793" i="1" l="1"/>
  <c r="J778" i="1"/>
  <c r="J891" i="1"/>
  <c r="J799" i="1"/>
  <c r="J765" i="1"/>
  <c r="J758" i="1"/>
  <c r="J724" i="1"/>
  <c r="J718" i="1"/>
  <c r="J712" i="1"/>
  <c r="J699" i="1"/>
  <c r="J704" i="1" s="1"/>
  <c r="J689" i="1"/>
  <c r="J666" i="1" l="1"/>
  <c r="J647" i="1"/>
  <c r="J745" i="1" l="1"/>
  <c r="J732" i="1"/>
  <c r="J616" i="1"/>
  <c r="J599" i="1"/>
  <c r="J588" i="1" l="1"/>
  <c r="J577" i="1"/>
  <c r="J570" i="1" l="1"/>
  <c r="J555" i="1"/>
  <c r="J548" i="1"/>
  <c r="J525" i="1"/>
  <c r="J501" i="1"/>
  <c r="J490" i="1"/>
  <c r="J473" i="1"/>
  <c r="J465" i="1" l="1"/>
  <c r="J455" i="1"/>
  <c r="J446" i="1"/>
  <c r="J428" i="1"/>
  <c r="J420" i="1"/>
  <c r="J408" i="1"/>
  <c r="J399" i="1"/>
  <c r="J367" i="1"/>
  <c r="J361" i="1"/>
  <c r="J377" i="1"/>
  <c r="J333" i="1"/>
  <c r="J258" i="1"/>
  <c r="J318" i="1" l="1"/>
  <c r="J305" i="1" l="1"/>
  <c r="J291" i="1"/>
  <c r="J285" i="1"/>
  <c r="J278" i="1"/>
  <c r="J267" i="1"/>
  <c r="J311" i="1"/>
  <c r="J241" i="1"/>
  <c r="J221" i="1" l="1"/>
  <c r="J209" i="1"/>
  <c r="J193" i="1"/>
  <c r="J176" i="1"/>
  <c r="J158" i="1"/>
  <c r="J150" i="1"/>
  <c r="J144" i="1"/>
  <c r="J138" i="1"/>
  <c r="J131" i="1"/>
  <c r="J115" i="1"/>
  <c r="J106" i="1" l="1"/>
  <c r="J96" i="1"/>
  <c r="J88" i="1" l="1"/>
  <c r="J57" i="1"/>
  <c r="J48" i="1"/>
  <c r="J40" i="1"/>
  <c r="J30" i="1"/>
  <c r="J23" i="1"/>
  <c r="J17" i="1"/>
</calcChain>
</file>

<file path=xl/sharedStrings.xml><?xml version="1.0" encoding="utf-8"?>
<sst xmlns="http://schemas.openxmlformats.org/spreadsheetml/2006/main" count="6898" uniqueCount="1276">
  <si>
    <t xml:space="preserve"> FECHA</t>
  </si>
  <si>
    <t xml:space="preserve">MOTOCICLETA </t>
  </si>
  <si>
    <t>PLACA</t>
  </si>
  <si>
    <t>COLOR</t>
  </si>
  <si>
    <t>MD</t>
  </si>
  <si>
    <t xml:space="preserve"> KM </t>
  </si>
  <si>
    <t>NOMBRE</t>
  </si>
  <si>
    <t>CEL</t>
  </si>
  <si>
    <t>TRABAJO REALIZADO</t>
  </si>
  <si>
    <t>VALOR</t>
  </si>
  <si>
    <t xml:space="preserve"> ABONO </t>
  </si>
  <si>
    <t>BMW 310</t>
  </si>
  <si>
    <t>OBB 49E</t>
  </si>
  <si>
    <t>ROJO</t>
  </si>
  <si>
    <t>DAVID</t>
  </si>
  <si>
    <t>ARREGLO MOTOR DE ARRANQUE</t>
  </si>
  <si>
    <t>MANTENIMIENTO GENERAL</t>
  </si>
  <si>
    <t>CAMBIO DE ACEITE</t>
  </si>
  <si>
    <t>FILTRO DE ACEITE</t>
  </si>
  <si>
    <t>FILTRO DE AIR</t>
  </si>
  <si>
    <t>TOTAL:</t>
  </si>
  <si>
    <t>SUPER TENERE</t>
  </si>
  <si>
    <t>MAB 12B</t>
  </si>
  <si>
    <t>AZUL</t>
  </si>
  <si>
    <t>FRANCISCO LOPEZ</t>
  </si>
  <si>
    <t>PASTILLAS DELANTERAS</t>
  </si>
  <si>
    <t>PASTILLAS TRASERAS</t>
  </si>
  <si>
    <t>GSXS 750</t>
  </si>
  <si>
    <t>RCS 77G</t>
  </si>
  <si>
    <t>NEGRO</t>
  </si>
  <si>
    <t>SANTIAGO SEPULVEDA</t>
  </si>
  <si>
    <t>PURGA DE CLUTCH Y FRENO</t>
  </si>
  <si>
    <t>YEP 62F</t>
  </si>
  <si>
    <t>JULIAN GOMEZ</t>
  </si>
  <si>
    <t>STAY</t>
  </si>
  <si>
    <t>INSTALACION STAY</t>
  </si>
  <si>
    <t>PULIR VISOR</t>
  </si>
  <si>
    <t>ROSCA DE ESPEJO</t>
  </si>
  <si>
    <t>ENDEREZAR DEFENSA</t>
  </si>
  <si>
    <t>RECTIFICADA DE RINES</t>
  </si>
  <si>
    <t>VSTROM 650</t>
  </si>
  <si>
    <t>BSD 37</t>
  </si>
  <si>
    <t>ABELARDO URRA</t>
  </si>
  <si>
    <t>MANTENIMIENTO BOMBA DE GASOLINA</t>
  </si>
  <si>
    <t>FILTRO DE ACETIE</t>
  </si>
  <si>
    <t>CORRECCION</t>
  </si>
  <si>
    <t>UFJ 29D</t>
  </si>
  <si>
    <t>ALEXANDER ROZO</t>
  </si>
  <si>
    <t>FILTRO DE AIRE</t>
  </si>
  <si>
    <t>CAMBIO FILTRO DE AIRE</t>
  </si>
  <si>
    <t>ARREGLO BOBINAS</t>
  </si>
  <si>
    <t>S1000R</t>
  </si>
  <si>
    <t>OHJ 65D</t>
  </si>
  <si>
    <t>BLANCO</t>
  </si>
  <si>
    <t>SEÑOR BLANCO</t>
  </si>
  <si>
    <t>ARREGLO RADIADOR</t>
  </si>
  <si>
    <t>ARREGLO CABLEADO</t>
  </si>
  <si>
    <t>PINTURA TAPAS COLA</t>
  </si>
  <si>
    <t>REPROGRAMACION</t>
  </si>
  <si>
    <t>ARREGLO Y PULIDA DE EXOSTO</t>
  </si>
  <si>
    <t>SOPORTE FAROLA</t>
  </si>
  <si>
    <t>ARREGLO FAROLA</t>
  </si>
  <si>
    <t>2 BOMBILLOS H7</t>
  </si>
  <si>
    <t>PINTURA CUPULA</t>
  </si>
  <si>
    <t>ESPUMAS DE GRIPS</t>
  </si>
  <si>
    <t>RELAY MOTOR DE ARRANQUE</t>
  </si>
  <si>
    <t>SILENCIADOR</t>
  </si>
  <si>
    <t>DIRECCIONALES TRASERAS}</t>
  </si>
  <si>
    <t>ARREGLO DIRECCIONAL DELANTERA</t>
  </si>
  <si>
    <t>ARREGLO TAPA TANQUE</t>
  </si>
  <si>
    <t>ACEITE</t>
  </si>
  <si>
    <t>CRF 250F</t>
  </si>
  <si>
    <t>VICTOR MEDINA</t>
  </si>
  <si>
    <t>ARREGLO PLACA</t>
  </si>
  <si>
    <t>REVISION TACOMETRO</t>
  </si>
  <si>
    <t>REVISION PITO</t>
  </si>
  <si>
    <t>TENSION Y LUBRICACION DE CADENA</t>
  </si>
  <si>
    <t>LAVADA</t>
  </si>
  <si>
    <t>XTZ 125</t>
  </si>
  <si>
    <t>UJZ 74F</t>
  </si>
  <si>
    <t>CARLOS MESA</t>
  </si>
  <si>
    <t>GUAYA DE ACELERADOR</t>
  </si>
  <si>
    <t>DUKE 200</t>
  </si>
  <si>
    <t>ACN 97G</t>
  </si>
  <si>
    <t>NARANJA</t>
  </si>
  <si>
    <t>GUSTAVO MORENO</t>
  </si>
  <si>
    <t>ARREGLO TABLERO</t>
  </si>
  <si>
    <t xml:space="preserve">ACEITE </t>
  </si>
  <si>
    <t>BATERIA</t>
  </si>
  <si>
    <t>BMW 1200</t>
  </si>
  <si>
    <t>JDN 43D</t>
  </si>
  <si>
    <t>ALEJANDRO</t>
  </si>
  <si>
    <t>EMBOBINADO CORONA</t>
  </si>
  <si>
    <t>MANO DE OBRA MOTOR</t>
  </si>
  <si>
    <t>GIXXER 150</t>
  </si>
  <si>
    <t>SCG 07F</t>
  </si>
  <si>
    <t>FULTRO DE ACEITE</t>
  </si>
  <si>
    <t>LUBRICACION DE CADENE</t>
  </si>
  <si>
    <t>CBR 250</t>
  </si>
  <si>
    <t>UWO 45C</t>
  </si>
  <si>
    <t>MANO DE OBRA</t>
  </si>
  <si>
    <t>LUBRICACION DE CADENA</t>
  </si>
  <si>
    <t>BMW F800</t>
  </si>
  <si>
    <t>YDS 06C</t>
  </si>
  <si>
    <t>DIEGO SACRISTAN</t>
  </si>
  <si>
    <t>TAPA DE RADIADOR</t>
  </si>
  <si>
    <t>JZH 57D</t>
  </si>
  <si>
    <t>IVAN NIVIA</t>
  </si>
  <si>
    <t>MANTENIMIENTO Y RETEN DE CLUTCH</t>
  </si>
  <si>
    <t>CAUCHO</t>
  </si>
  <si>
    <t>GIXXER 250</t>
  </si>
  <si>
    <t>JMG 72G</t>
  </si>
  <si>
    <t>TENSION DE CADENA</t>
  </si>
  <si>
    <t>BMW F 850</t>
  </si>
  <si>
    <t>MANTENIMIENTO DE CADENA</t>
  </si>
  <si>
    <t>MANTENIMIENTO MECANISMO MALETERO</t>
  </si>
  <si>
    <t>IMPRONTAS</t>
  </si>
  <si>
    <t>PEDRO</t>
  </si>
  <si>
    <t>ODK 22C</t>
  </si>
  <si>
    <t>GN 125</t>
  </si>
  <si>
    <t>XQD 62A</t>
  </si>
  <si>
    <t>LIBARDO PATIÑO</t>
  </si>
  <si>
    <t>REPARACION</t>
  </si>
  <si>
    <t>CAMBIO KIT DE ARRASTRE</t>
  </si>
  <si>
    <t>CAMBIO BUJES DE TIJERA</t>
  </si>
  <si>
    <t>SENTADA DE VALVULAS</t>
  </si>
  <si>
    <t>CUNAS</t>
  </si>
  <si>
    <t>INSTALACION DE CUNAS</t>
  </si>
  <si>
    <t>SOLDADURA DEFENSA TRASERA</t>
  </si>
  <si>
    <t>IEL 32G</t>
  </si>
  <si>
    <t>MNTENIMIENTO GENERAL</t>
  </si>
  <si>
    <t>CAMBIO DE LLANTAS</t>
  </si>
  <si>
    <t>CAMBIO DE ACEITE 10W40</t>
  </si>
  <si>
    <t>DEPURACION LIQUIDO DE FRENOS</t>
  </si>
  <si>
    <t>RETOQUES Y PINTURA DEFENSAS</t>
  </si>
  <si>
    <t>PINTURA HANDSAVER</t>
  </si>
  <si>
    <t>UNION DEFENSA</t>
  </si>
  <si>
    <t>ESPEJO IZQUIERDO</t>
  </si>
  <si>
    <t>LUIS ARIAS</t>
  </si>
  <si>
    <t>HOLMAN ARIAS</t>
  </si>
  <si>
    <t>GZD 12G</t>
  </si>
  <si>
    <t>RETOQUES GENERALES</t>
  </si>
  <si>
    <t>BOMBILLOS LED</t>
  </si>
  <si>
    <t>UNION DEFENSAS</t>
  </si>
  <si>
    <t>TVS</t>
  </si>
  <si>
    <t>MNR 88E</t>
  </si>
  <si>
    <t xml:space="preserve">CAMBIO DE PASTILLAS </t>
  </si>
  <si>
    <t>FMF 30C</t>
  </si>
  <si>
    <t>JESUS SARMIRNTO</t>
  </si>
  <si>
    <t>MEDIAS DE BARRAS</t>
  </si>
  <si>
    <t>DEPURACION ABS</t>
  </si>
  <si>
    <t>MT 07</t>
  </si>
  <si>
    <t>QEY 88D</t>
  </si>
  <si>
    <t>GRIS</t>
  </si>
  <si>
    <t>LNW 39C</t>
  </si>
  <si>
    <t>WILSON TOBAR</t>
  </si>
  <si>
    <t>KTM RC</t>
  </si>
  <si>
    <t>CZS 01E</t>
  </si>
  <si>
    <t>JEIMY CASALLAS</t>
  </si>
  <si>
    <t>MANTENIMIENTO PREVENTIVO</t>
  </si>
  <si>
    <t xml:space="preserve">TRK </t>
  </si>
  <si>
    <t>CUP 36G</t>
  </si>
  <si>
    <t>JUAN DAVID</t>
  </si>
  <si>
    <t>MANO DE BRA</t>
  </si>
  <si>
    <t>LUBRICANTE DE CADENA</t>
  </si>
  <si>
    <t>XDN 99G</t>
  </si>
  <si>
    <t>ELIZABETH</t>
  </si>
  <si>
    <t>CAMBIO DE LLANTA</t>
  </si>
  <si>
    <t>MANTENIMIENTO BARRA DERECHA</t>
  </si>
  <si>
    <t>ACEITE HIDRAULICO</t>
  </si>
  <si>
    <t>AWR 37E</t>
  </si>
  <si>
    <t>STIVENSON GARCIA</t>
  </si>
  <si>
    <t>TECNOMECANICA</t>
  </si>
  <si>
    <t>INSTALACION GUARDABARRO</t>
  </si>
  <si>
    <t>GRUA</t>
  </si>
  <si>
    <t>UGO 82D</t>
  </si>
  <si>
    <t>SEÑOR ZORRO</t>
  </si>
  <si>
    <t>RNM 05G</t>
  </si>
  <si>
    <t>JAVIER BECERRA</t>
  </si>
  <si>
    <t xml:space="preserve">DESERT </t>
  </si>
  <si>
    <t>DANI</t>
  </si>
  <si>
    <t>EXPLORADORAS</t>
  </si>
  <si>
    <t>SOPORTES</t>
  </si>
  <si>
    <t>AFRICA TWIN</t>
  </si>
  <si>
    <t>ODQ 78C</t>
  </si>
  <si>
    <t>JAVIER VARGAS</t>
  </si>
  <si>
    <t>ARREGLO RINES</t>
  </si>
  <si>
    <t>CORRECCIN DE FUGA</t>
  </si>
  <si>
    <t>DDE</t>
  </si>
  <si>
    <t>OMAR</t>
  </si>
  <si>
    <t>SOLDADURA DE STAY</t>
  </si>
  <si>
    <t>2 RADIOS TRASEROS</t>
  </si>
  <si>
    <t>11/05/02025</t>
  </si>
  <si>
    <t>BVS 60G</t>
  </si>
  <si>
    <t>PAOLA DURAN</t>
  </si>
  <si>
    <t>PINTURA DE RINES</t>
  </si>
  <si>
    <t>SENSOR POSICION DE CAMBIOS</t>
  </si>
  <si>
    <t>PESA IZQUIERDA</t>
  </si>
  <si>
    <t>GUARDABARRO TRASERO</t>
  </si>
  <si>
    <t>KIT DE ARRSTRE</t>
  </si>
  <si>
    <t>DIRECCIONALES</t>
  </si>
  <si>
    <t>DIRECCIONAL IZQUIERDA TRASERA</t>
  </si>
  <si>
    <t>MANIGUETA IZQUIERDA</t>
  </si>
  <si>
    <t>MANTENIMIENTO GENRAL</t>
  </si>
  <si>
    <t>1/4 DE SCEITE</t>
  </si>
  <si>
    <t>ARREGLO RIN DELANTERO</t>
  </si>
  <si>
    <t>PINTURA TAPA LATERAL</t>
  </si>
  <si>
    <t>BMW F700GS</t>
  </si>
  <si>
    <t>AVZ 13D</t>
  </si>
  <si>
    <t>JULIAN PACHON</t>
  </si>
  <si>
    <t>TENSOR DE CADENILLA</t>
  </si>
  <si>
    <t>VMX 09F</t>
  </si>
  <si>
    <t>MAURICIO ALBA</t>
  </si>
  <si>
    <t>ARREGLO CALEFACTORES</t>
  </si>
  <si>
    <t>BOMBILLO LED</t>
  </si>
  <si>
    <t>COCUYOS</t>
  </si>
  <si>
    <t>LUCES FEDERALES</t>
  </si>
  <si>
    <t>SOPORTES LUCES</t>
  </si>
  <si>
    <t>AE 27083</t>
  </si>
  <si>
    <t>ANTONIO GIURR</t>
  </si>
  <si>
    <t>MANTENIMIENTO KIT DE ARRSTRE</t>
  </si>
  <si>
    <t>ARREGLO MULETA</t>
  </si>
  <si>
    <t>BMW 650</t>
  </si>
  <si>
    <t>ERA 86D</t>
  </si>
  <si>
    <t>DISCOVER</t>
  </si>
  <si>
    <t>REPARACION GENERAL</t>
  </si>
  <si>
    <t>KIT DE CILINDRO</t>
  </si>
  <si>
    <t>CADENILLA</t>
  </si>
  <si>
    <t>DESLIZADORES</t>
  </si>
  <si>
    <t>EMPAQUETADURA</t>
  </si>
  <si>
    <t>SELLOS DE VALVULAS</t>
  </si>
  <si>
    <t>RODAMIENTOS EJE DE LEVAS</t>
  </si>
  <si>
    <t>RODAMIENTOS DE CIGÜEÑAL</t>
  </si>
  <si>
    <t>BIELA</t>
  </si>
  <si>
    <t>BALANCEO DE CIGÜEÑAL</t>
  </si>
  <si>
    <t>CRF 250</t>
  </si>
  <si>
    <t>DDP 76G</t>
  </si>
  <si>
    <t>DY 08623</t>
  </si>
  <si>
    <t>SILVANO VIGNOLIO</t>
  </si>
  <si>
    <t>ARREGLO ABS</t>
  </si>
  <si>
    <t>MANTENIMIENTO DE BARRAS</t>
  </si>
  <si>
    <t>MEDIAS DE BRRAS</t>
  </si>
  <si>
    <t>CAMBIO DE EXPLORADORA</t>
  </si>
  <si>
    <t>REVISAR FAROLA</t>
  </si>
  <si>
    <t>AMORTIGUADOR</t>
  </si>
  <si>
    <t>MANTENIMIENTO DE CARDAN</t>
  </si>
  <si>
    <t>FZ 250</t>
  </si>
  <si>
    <t>GDX 31F</t>
  </si>
  <si>
    <t>EDWIN</t>
  </si>
  <si>
    <t>MANTENIMIENTO MANIGUETA</t>
  </si>
  <si>
    <t>ORJ 76C</t>
  </si>
  <si>
    <t>SERGIO PINZON</t>
  </si>
  <si>
    <t>PITOS</t>
  </si>
  <si>
    <t>TANSPORTE</t>
  </si>
  <si>
    <t>YIM 30C</t>
  </si>
  <si>
    <t>SERGIO PEREA</t>
  </si>
  <si>
    <t>DISCO TRASERO</t>
  </si>
  <si>
    <t>VSTROM 1000</t>
  </si>
  <si>
    <t>MJL 22F</t>
  </si>
  <si>
    <t>CARLOS</t>
  </si>
  <si>
    <t>CAMBIO DE CUNAS</t>
  </si>
  <si>
    <t>JUAN JOSE FIERRO</t>
  </si>
  <si>
    <t>EXTRACCION DE TORNILLOS</t>
  </si>
  <si>
    <t>OSX 53C</t>
  </si>
  <si>
    <t>RAFAEL URIBE</t>
  </si>
  <si>
    <t>HELICOIL</t>
  </si>
  <si>
    <t>ARREGLO DE RIN</t>
  </si>
  <si>
    <t>LLANTA</t>
  </si>
  <si>
    <t>KTM 1190</t>
  </si>
  <si>
    <t>JXM 17D</t>
  </si>
  <si>
    <t>JULIAN SARMIENTO</t>
  </si>
  <si>
    <t>ARREGLO TAPA</t>
  </si>
  <si>
    <t>INSTALACION DE PIEZAS</t>
  </si>
  <si>
    <t>ORING</t>
  </si>
  <si>
    <t>TAPA DE EXOSTO</t>
  </si>
  <si>
    <t>KTM 390</t>
  </si>
  <si>
    <t>SCU 30F</t>
  </si>
  <si>
    <t>LUIS GONZALES</t>
  </si>
  <si>
    <t>RECTIFICACION RIN TRASERO</t>
  </si>
  <si>
    <t>TACO RUEDA TRASERA</t>
  </si>
  <si>
    <t>PASTILLAS DELANTERAS Y TRASERA</t>
  </si>
  <si>
    <t>QUN 32D</t>
  </si>
  <si>
    <t>WILLIAM HERRERA</t>
  </si>
  <si>
    <t>ARREGLO ESPEJO</t>
  </si>
  <si>
    <t>DIRECCIONAL IZQUIERDA</t>
  </si>
  <si>
    <t>TAPIZADO SILLA</t>
  </si>
  <si>
    <t>PEDAL DE CAMBIOS</t>
  </si>
  <si>
    <t>JZS 74C</t>
  </si>
  <si>
    <t>JOHN CAJAMARCA</t>
  </si>
  <si>
    <t>ENDEREZAR RIN</t>
  </si>
  <si>
    <t>FUSIBLE</t>
  </si>
  <si>
    <t>CAMBIO DE ACEITE 20W50</t>
  </si>
  <si>
    <t>VSTROM</t>
  </si>
  <si>
    <t>WJC 62F</t>
  </si>
  <si>
    <t>MANTENIMIENTO DE BARRA DERECHA</t>
  </si>
  <si>
    <t>FZL 79C</t>
  </si>
  <si>
    <t>PIPE PEÑA</t>
  </si>
  <si>
    <t>MANTENIMIENTO DE BOBINAS</t>
  </si>
  <si>
    <t>1 BOBINA</t>
  </si>
  <si>
    <t>FUGA CKP</t>
  </si>
  <si>
    <t>RBY 08G</t>
  </si>
  <si>
    <t>DUVAN</t>
  </si>
  <si>
    <t>CENTRO DE PRENSA</t>
  </si>
  <si>
    <t>PORTAPLACA</t>
  </si>
  <si>
    <t>CB 125F</t>
  </si>
  <si>
    <t>QCY 72F</t>
  </si>
  <si>
    <t>LEONARDO ORTEGA</t>
  </si>
  <si>
    <t>KIT DE CADENILLA</t>
  </si>
  <si>
    <t>EMPAQUETADURA COMPLETA</t>
  </si>
  <si>
    <t>ACEITE MOTOR</t>
  </si>
  <si>
    <t>RETENES DE BARRAS</t>
  </si>
  <si>
    <t>MANO DE OBRA BARRAS</t>
  </si>
  <si>
    <t>RODAMIENTOS DELANTEROS</t>
  </si>
  <si>
    <t>KIT DE ARRASTRE</t>
  </si>
  <si>
    <t>PULSAR NS 200</t>
  </si>
  <si>
    <t>TWD 18E</t>
  </si>
  <si>
    <t>DIEGO QUINTERO</t>
  </si>
  <si>
    <t>CAPUCHONES</t>
  </si>
  <si>
    <t>BUJIAS</t>
  </si>
  <si>
    <t>SINCRONIZACION Y CALIBRACION DE VALVULAS</t>
  </si>
  <si>
    <t>VERSYS 300</t>
  </si>
  <si>
    <t>YPY 38G</t>
  </si>
  <si>
    <t>VERDE</t>
  </si>
  <si>
    <t>PASADOR DE MORDAZA</t>
  </si>
  <si>
    <t>PASTILLAS</t>
  </si>
  <si>
    <t>GOQ 99G</t>
  </si>
  <si>
    <t>JHON MUÑOZ</t>
  </si>
  <si>
    <t>PINES PLASTICOS</t>
  </si>
  <si>
    <t>NIVELACION DE LIQUIDOS</t>
  </si>
  <si>
    <t>DOMINAR 400</t>
  </si>
  <si>
    <t>YHM 75F</t>
  </si>
  <si>
    <t xml:space="preserve">ANDRES </t>
  </si>
  <si>
    <t>MANO DE OBRA ACEITE</t>
  </si>
  <si>
    <t>RETEN DE AGUA</t>
  </si>
  <si>
    <t>MANO DE OBRA RETEN</t>
  </si>
  <si>
    <t xml:space="preserve">NINJA </t>
  </si>
  <si>
    <t>PBR 53E</t>
  </si>
  <si>
    <t>ALEXANDER</t>
  </si>
  <si>
    <t xml:space="preserve">KTM </t>
  </si>
  <si>
    <t>SANTI</t>
  </si>
  <si>
    <t>GUAYAS DE ACELERADOR</t>
  </si>
  <si>
    <t>ARREGLO DE SWITCH</t>
  </si>
  <si>
    <t>MANTENIMIENTO FILTRO DE AIRE</t>
  </si>
  <si>
    <t>CAMBIO LLANTA TRASERA</t>
  </si>
  <si>
    <t>RODAMIENTOS TRASEROS</t>
  </si>
  <si>
    <t>PEDAL PALANCA DE FRENO</t>
  </si>
  <si>
    <t>LEONARDO</t>
  </si>
  <si>
    <t>DESPINCHE LLANTA DELANTERA</t>
  </si>
  <si>
    <t>ARREGLO PITO</t>
  </si>
  <si>
    <t>NEUMATICOO</t>
  </si>
  <si>
    <t>ARREGLO DE BARRAS</t>
  </si>
  <si>
    <t>DISCOS Y SEPARADORES</t>
  </si>
  <si>
    <t>OQW 19C</t>
  </si>
  <si>
    <t>ARREGLO FUGA</t>
  </si>
  <si>
    <t>BMW G650</t>
  </si>
  <si>
    <t>EOS 64D</t>
  </si>
  <si>
    <t>PINTURA GENERAL</t>
  </si>
  <si>
    <t>DUCATI V4</t>
  </si>
  <si>
    <t>CQC 11G</t>
  </si>
  <si>
    <t>CAFÉ</t>
  </si>
  <si>
    <t>LEONARDO VELASQUEZ</t>
  </si>
  <si>
    <t>ARREGLO RADIADORES</t>
  </si>
  <si>
    <t>ARREGLO DE DEFENSAS</t>
  </si>
  <si>
    <t>REFRIGERANTE</t>
  </si>
  <si>
    <t>ARREGLO DE TAPAS</t>
  </si>
  <si>
    <t>ARREGLO DE ESPEJO</t>
  </si>
  <si>
    <t>ACEITE MOTOTR 400CC</t>
  </si>
  <si>
    <t>PINTURA TAPAS LATERALES</t>
  </si>
  <si>
    <t>ARREGLO CHAPA MALETERO</t>
  </si>
  <si>
    <t>BHG 73</t>
  </si>
  <si>
    <t>FABIAN VILLALBA</t>
  </si>
  <si>
    <t>DIRECCIONAL</t>
  </si>
  <si>
    <t>CAMBIO FILTRO DE GASOLINA</t>
  </si>
  <si>
    <t>PILA DE GASOLINA</t>
  </si>
  <si>
    <t>2 GALONES DE GASOLINA</t>
  </si>
  <si>
    <t>PIÑON VENDIX</t>
  </si>
  <si>
    <t>MANO DE OBRA VENDIX</t>
  </si>
  <si>
    <t>INTERRUPTOR</t>
  </si>
  <si>
    <t>OUF 48C</t>
  </si>
  <si>
    <t>CESAR</t>
  </si>
  <si>
    <t>NINJA 300</t>
  </si>
  <si>
    <t>YQT 80D</t>
  </si>
  <si>
    <t>FRANC CASTILLO</t>
  </si>
  <si>
    <t>DIANA</t>
  </si>
  <si>
    <t>BOMBILLOS LED H7</t>
  </si>
  <si>
    <t>COCUYOS LED</t>
  </si>
  <si>
    <t xml:space="preserve">FZ </t>
  </si>
  <si>
    <t>GDW 28F</t>
  </si>
  <si>
    <t>RICARDO</t>
  </si>
  <si>
    <t>PIÑON</t>
  </si>
  <si>
    <t>CADENA</t>
  </si>
  <si>
    <t>MT 09</t>
  </si>
  <si>
    <t>JVI 47F</t>
  </si>
  <si>
    <t>VERSYS 650</t>
  </si>
  <si>
    <t>URW 72C</t>
  </si>
  <si>
    <t>AMARILLO</t>
  </si>
  <si>
    <t>ROBERTO GOMEZ</t>
  </si>
  <si>
    <t>1 GALON DE GASOLINA</t>
  </si>
  <si>
    <t>RETOQUES</t>
  </si>
  <si>
    <t>ARREGLO TAPAS</t>
  </si>
  <si>
    <t>XXS 92E</t>
  </si>
  <si>
    <t>CAMILO GOMEZ</t>
  </si>
  <si>
    <t>MANO DE OBRA COCUYOS</t>
  </si>
  <si>
    <t>CAMBIO LLANTA DELANTERA</t>
  </si>
  <si>
    <t xml:space="preserve">MT </t>
  </si>
  <si>
    <t>INSTALACION DE ACCESORIOS</t>
  </si>
  <si>
    <t>BWS</t>
  </si>
  <si>
    <t>YESIKA</t>
  </si>
  <si>
    <t>CORREA</t>
  </si>
  <si>
    <t>DISCO DE FRENO DELANTERO</t>
  </si>
  <si>
    <t>DIRECCIONAL TRASERA IZQUIERDA</t>
  </si>
  <si>
    <t xml:space="preserve">CRF </t>
  </si>
  <si>
    <t>JUAN PABLO</t>
  </si>
  <si>
    <t>MANTENIMIENTO DE LLANTAS</t>
  </si>
  <si>
    <t>JTI 87D</t>
  </si>
  <si>
    <t>DARIO RODRIGUEZ</t>
  </si>
  <si>
    <t>INSTALACION BASE E INTERRUPTORES</t>
  </si>
  <si>
    <t>EXTRACCION DB KILLER</t>
  </si>
  <si>
    <t xml:space="preserve">DARIO </t>
  </si>
  <si>
    <t>ARREGLO ANCLAJE MALETERO</t>
  </si>
  <si>
    <t>ABRAZADERA GUARDABARRO</t>
  </si>
  <si>
    <t>JSY 04D</t>
  </si>
  <si>
    <t xml:space="preserve">ROLON </t>
  </si>
  <si>
    <t>CAMBIO DE REFRIGERANTE</t>
  </si>
  <si>
    <t>1 EXPLORADORA</t>
  </si>
  <si>
    <t>URF 03F</t>
  </si>
  <si>
    <t>JONNY SANCHEZ</t>
  </si>
  <si>
    <t xml:space="preserve">KIT DE ARRASTRE </t>
  </si>
  <si>
    <t>FLW 89C</t>
  </si>
  <si>
    <t>INSTALACION CARPLAY Y CAMARAS</t>
  </si>
  <si>
    <t>1/4 DE ACEITE</t>
  </si>
  <si>
    <t>JUAN CARLOS BLANCO</t>
  </si>
  <si>
    <t>ESPEJOS</t>
  </si>
  <si>
    <t>ARREGLO DE FUGA</t>
  </si>
  <si>
    <t>INSTALACION DE BOMBILLOS</t>
  </si>
  <si>
    <t>DUKE</t>
  </si>
  <si>
    <t>JMM 83G</t>
  </si>
  <si>
    <t>JORGE PRIETO</t>
  </si>
  <si>
    <t>RAIDER</t>
  </si>
  <si>
    <t>XGJ 56G</t>
  </si>
  <si>
    <t>REVISION TENSION DE CADENA</t>
  </si>
  <si>
    <t>BMW G650GS</t>
  </si>
  <si>
    <t>BERNARDO</t>
  </si>
  <si>
    <t>CARGA DE BATERIA</t>
  </si>
  <si>
    <t>DIAGNOSTICO</t>
  </si>
  <si>
    <t>TENERE 700</t>
  </si>
  <si>
    <t>GME 64E</t>
  </si>
  <si>
    <t>DIEGO CARDENAS</t>
  </si>
  <si>
    <t>EMBONINADO DE CORONA</t>
  </si>
  <si>
    <t>BSD 97</t>
  </si>
  <si>
    <t>MANTENIMEINTO DE MORDAZA</t>
  </si>
  <si>
    <t>CAMBIO LIQUIDO DE FRENOS</t>
  </si>
  <si>
    <t>0813KZR</t>
  </si>
  <si>
    <t>GUSTAVO</t>
  </si>
  <si>
    <t>GS 500</t>
  </si>
  <si>
    <t>JORGE SANCHEZ</t>
  </si>
  <si>
    <t>PESAS Y SOPORTES</t>
  </si>
  <si>
    <t>R1</t>
  </si>
  <si>
    <t>GIL 11D</t>
  </si>
  <si>
    <t>ANDRES GOMEZ</t>
  </si>
  <si>
    <t>MANTENIMIENTO Y ARREGLO DE BARRAS</t>
  </si>
  <si>
    <t>TAPIZADO DE SILLAS</t>
  </si>
  <si>
    <t>TPI 36D</t>
  </si>
  <si>
    <t>GRIS/AZUL</t>
  </si>
  <si>
    <t>AREGLO ABS</t>
  </si>
  <si>
    <t>ARREGLO GATO CENTRAL</t>
  </si>
  <si>
    <t>CAMBIO DE ACIETE</t>
  </si>
  <si>
    <t>CORRECCION FUGA CKP</t>
  </si>
  <si>
    <t>SELLOS BOMBA DE AGUA</t>
  </si>
  <si>
    <t>PINTURA TAPAS MOTOR</t>
  </si>
  <si>
    <t>ARREGLO DEFENSA</t>
  </si>
  <si>
    <t>TORNILLO MORDAZA</t>
  </si>
  <si>
    <t>TORNILLO CALIPER</t>
  </si>
  <si>
    <t>CAMNASTILLAS DE TRAPECIO Y MANTENIMIENTO</t>
  </si>
  <si>
    <t>BUJE DE MANIGUETA</t>
  </si>
  <si>
    <t>INSTALACION INTERRUPTOR</t>
  </si>
  <si>
    <t>CAMBIO MANILARES</t>
  </si>
  <si>
    <t>SMM 95B</t>
  </si>
  <si>
    <t>TRK</t>
  </si>
  <si>
    <t>CAMBIO DE PASTILLAS</t>
  </si>
  <si>
    <t>CAMBIO DE EXPLORADORAS</t>
  </si>
  <si>
    <t>BOMBILLOS</t>
  </si>
  <si>
    <t>JXR 94C</t>
  </si>
  <si>
    <t>CIRO RODRIGUEZ</t>
  </si>
  <si>
    <t>LIQUIDO DE FRENOS</t>
  </si>
  <si>
    <t>AJUSTE DE CUNAS Y GUAYA DE CLUTCH</t>
  </si>
  <si>
    <t>MANTENIMIENTO KIT DE ARRASTRE</t>
  </si>
  <si>
    <t>POLICHADO DE TANQUE</t>
  </si>
  <si>
    <t>MULETA</t>
  </si>
  <si>
    <t>BOMBILLO ALUMBRAPLACA</t>
  </si>
  <si>
    <t>APACHE 160</t>
  </si>
  <si>
    <t>CAK 87H</t>
  </si>
  <si>
    <t>CF MOTO</t>
  </si>
  <si>
    <t>UGV 06G</t>
  </si>
  <si>
    <t>SERGIO DIAZ</t>
  </si>
  <si>
    <t>STAY FRONTAL</t>
  </si>
  <si>
    <t>GUARDABARRO DELANTERO</t>
  </si>
  <si>
    <t>TAPAS FAROLA</t>
  </si>
  <si>
    <t>TORNILLOS Y PINES</t>
  </si>
  <si>
    <t>Z300</t>
  </si>
  <si>
    <t>KUW 65E</t>
  </si>
  <si>
    <t>IVAN</t>
  </si>
  <si>
    <t>RECTIFICACION DE CIGÜEÑAL</t>
  </si>
  <si>
    <t>CASQUETES</t>
  </si>
  <si>
    <t>XTZ 250</t>
  </si>
  <si>
    <t>GOQ 52C</t>
  </si>
  <si>
    <t>JHON</t>
  </si>
  <si>
    <t>YQD 96D</t>
  </si>
  <si>
    <t>CRISTIAN PACHON</t>
  </si>
  <si>
    <t>LLANTA DELANTERA</t>
  </si>
  <si>
    <t>ESPEJO</t>
  </si>
  <si>
    <t>ARREGLO TAPA BOBINA DE ALTA</t>
  </si>
  <si>
    <t>INTERRUPTORES</t>
  </si>
  <si>
    <t>UHT 82D</t>
  </si>
  <si>
    <t>JUAN PABLO VALENCIA</t>
  </si>
  <si>
    <t>AJUSTE Y LUBRICACION PASRTES MOVILES</t>
  </si>
  <si>
    <t>OQP 89D</t>
  </si>
  <si>
    <t>YEIMER</t>
  </si>
  <si>
    <t>CORRECCION FUGA</t>
  </si>
  <si>
    <t>TAPA MANUBRIO</t>
  </si>
  <si>
    <t>CAMBIO VALVULINA</t>
  </si>
  <si>
    <t xml:space="preserve">TAPA   </t>
  </si>
  <si>
    <t>EDWIN HERNANDEZ</t>
  </si>
  <si>
    <t>IYS 07E</t>
  </si>
  <si>
    <t>FELIPE</t>
  </si>
  <si>
    <t>LUBRICACION Y TENSION DE CADENA</t>
  </si>
  <si>
    <t>MANTENIMIENTO DE MORDAZA</t>
  </si>
  <si>
    <t>GUAYA DE CLUTCH</t>
  </si>
  <si>
    <t>BMW F900</t>
  </si>
  <si>
    <t>OEX 56E</t>
  </si>
  <si>
    <t>JOHN CHAVEZ</t>
  </si>
  <si>
    <t xml:space="preserve">CAMBIO DE ACEITE </t>
  </si>
  <si>
    <t>BENELLI 150</t>
  </si>
  <si>
    <t>BCW 42G</t>
  </si>
  <si>
    <t>LEONARDO QUINTERO</t>
  </si>
  <si>
    <t>DET 23D</t>
  </si>
  <si>
    <t>OET 23D</t>
  </si>
  <si>
    <t>MANO DE OBRA BOBINAS</t>
  </si>
  <si>
    <t>2 BOBINAS</t>
  </si>
  <si>
    <t>ARREGLO BOBINA</t>
  </si>
  <si>
    <t>EXOSTO</t>
  </si>
  <si>
    <t>KXH 78C</t>
  </si>
  <si>
    <t>MARCO ROJAS</t>
  </si>
  <si>
    <t>TKN 06E</t>
  </si>
  <si>
    <t>ANDRES</t>
  </si>
  <si>
    <t>LABADA</t>
  </si>
  <si>
    <t>ZAX 71D</t>
  </si>
  <si>
    <t>JOSE ROMERO</t>
  </si>
  <si>
    <t>RETEN DE BARRA</t>
  </si>
  <si>
    <t>GPG 95G</t>
  </si>
  <si>
    <t>ARMANDO SARMIENTO</t>
  </si>
  <si>
    <t>CAMBIO BUJIAS</t>
  </si>
  <si>
    <t>JXA 75D</t>
  </si>
  <si>
    <t>DAVID CAMARA</t>
  </si>
  <si>
    <t>1 RETEN</t>
  </si>
  <si>
    <t>MEDIAS</t>
  </si>
  <si>
    <t>JORGE PINILLA</t>
  </si>
  <si>
    <t>LLANTAS</t>
  </si>
  <si>
    <t>DUCATI DESERT</t>
  </si>
  <si>
    <t>LTU 89F</t>
  </si>
  <si>
    <t>DANIEL CORREA</t>
  </si>
  <si>
    <t>TENERE 660</t>
  </si>
  <si>
    <t>CZY 90E</t>
  </si>
  <si>
    <t>JUAN PABLO MEJIA</t>
  </si>
  <si>
    <t>SOLDADURA STAY FRONTAL</t>
  </si>
  <si>
    <t>CAMBIO CARENAJE</t>
  </si>
  <si>
    <t>FUELELS BARRA</t>
  </si>
  <si>
    <t>BRILLO DE EXOSTOS</t>
  </si>
  <si>
    <t>ENDEREZAR PEDAL DE FRENO</t>
  </si>
  <si>
    <t>BOMBILLO</t>
  </si>
  <si>
    <t>BMW F900R</t>
  </si>
  <si>
    <t>YVV 57G</t>
  </si>
  <si>
    <t>LUBRICACION DE CLUTCH</t>
  </si>
  <si>
    <t>DDC 66E</t>
  </si>
  <si>
    <t>ALVARO ROMERO</t>
  </si>
  <si>
    <t>SOLDADURA DE MULETA</t>
  </si>
  <si>
    <t>CAMBIO DE BOBINA</t>
  </si>
  <si>
    <t>ROYAL ENFIELD</t>
  </si>
  <si>
    <t>JLP 35G</t>
  </si>
  <si>
    <t>AJUSTE DE RIN</t>
  </si>
  <si>
    <t>REVISION SENSOR</t>
  </si>
  <si>
    <t>REVISION BOBINAS</t>
  </si>
  <si>
    <t>ARREGLO CHAPA</t>
  </si>
  <si>
    <t>MHU 08R</t>
  </si>
  <si>
    <t>ALFREDO ESPITIA</t>
  </si>
  <si>
    <t>MANTENIMIENTO BOBINAS</t>
  </si>
  <si>
    <t>CAMBIO MOTOVENTILADOR</t>
  </si>
  <si>
    <t>PULSAR 180</t>
  </si>
  <si>
    <t>MRF 44F</t>
  </si>
  <si>
    <t>MANO DE OBRA}</t>
  </si>
  <si>
    <t>DDI 37E</t>
  </si>
  <si>
    <t>HUMBERTO ZEA</t>
  </si>
  <si>
    <t>MANTENIMIENTO Y RETEN DE LUTCH</t>
  </si>
  <si>
    <t>UVG 38C</t>
  </si>
  <si>
    <t>NYCOLL GAMBOA</t>
  </si>
  <si>
    <t>MANO DE OBRA RODAMIENTOS</t>
  </si>
  <si>
    <t>R15</t>
  </si>
  <si>
    <t>GIA 73F</t>
  </si>
  <si>
    <t>DANIEL VARGAS</t>
  </si>
  <si>
    <t>ZX3R</t>
  </si>
  <si>
    <t>DCJ 91E</t>
  </si>
  <si>
    <t>JUAN SANCHEZ</t>
  </si>
  <si>
    <t>ARREGLO TAPA CARENAJE</t>
  </si>
  <si>
    <t>ARREGLO PROTECTOR EXOSTO</t>
  </si>
  <si>
    <t>ARREGLO PALANCA DE FRENO</t>
  </si>
  <si>
    <t>ARREGLO PESA Y MANIGUETA DERECHA</t>
  </si>
  <si>
    <t>DISCOS DE CLUTCH</t>
  </si>
  <si>
    <t>F800</t>
  </si>
  <si>
    <t>ANCLAJE RADIADOR</t>
  </si>
  <si>
    <t xml:space="preserve">RETEN </t>
  </si>
  <si>
    <t xml:space="preserve">KLX </t>
  </si>
  <si>
    <t>HTM 08E</t>
  </si>
  <si>
    <t>JOHN FREDY ARIZA</t>
  </si>
  <si>
    <t>ARREGLO RIN TRASERO</t>
  </si>
  <si>
    <t>REPARACION PARCIAL</t>
  </si>
  <si>
    <t>TORNILLO PLACA</t>
  </si>
  <si>
    <t>EMPAQUE TAPA VOLANTE</t>
  </si>
  <si>
    <t>JJH 97D</t>
  </si>
  <si>
    <t>EQR 53G</t>
  </si>
  <si>
    <t>ANDRES FERNANDEZ</t>
  </si>
  <si>
    <t>CAMBIO EMPAQUE CULATIN</t>
  </si>
  <si>
    <t>YFK 75F</t>
  </si>
  <si>
    <t>SANTIAGO ALZA</t>
  </si>
  <si>
    <t>DAQ 64E</t>
  </si>
  <si>
    <t>ANDRES JOYA</t>
  </si>
  <si>
    <t>BUJES DE DIRECCION</t>
  </si>
  <si>
    <t>FLTRO DE ACEITE</t>
  </si>
  <si>
    <t>TAPON DE ACEITET</t>
  </si>
  <si>
    <t>WIL 02E</t>
  </si>
  <si>
    <t>DANIEL MAYA</t>
  </si>
  <si>
    <t>TRACER 900</t>
  </si>
  <si>
    <t>YRR 42D</t>
  </si>
  <si>
    <t>JUAN CARLOS VELOZA</t>
  </si>
  <si>
    <t>MANTENIMITNTO GENERAL</t>
  </si>
  <si>
    <t>ADG 89F</t>
  </si>
  <si>
    <t>PULSAR 160</t>
  </si>
  <si>
    <t>XGP 63G</t>
  </si>
  <si>
    <t>MT 10</t>
  </si>
  <si>
    <t>YOJ 50F</t>
  </si>
  <si>
    <t>BENELLI</t>
  </si>
  <si>
    <t>CCY 44G</t>
  </si>
  <si>
    <t>ARREGLO TAPA DERECHA</t>
  </si>
  <si>
    <t>ARREGLO TAPA EXOSTO</t>
  </si>
  <si>
    <t>PASTILLAS SELANTERAS</t>
  </si>
  <si>
    <t>AXL 47D</t>
  </si>
  <si>
    <t>ALEJANDRO ALVAREZ</t>
  </si>
  <si>
    <t>ANILLOS</t>
  </si>
  <si>
    <t>SELLOS DE VALVULA</t>
  </si>
  <si>
    <t>PINTURA MANIJAS</t>
  </si>
  <si>
    <t>PULIDA DE VISOR</t>
  </si>
  <si>
    <t>PINTURA TAPAS DE MOTOS</t>
  </si>
  <si>
    <t>ARREGLO ESPEJOS</t>
  </si>
  <si>
    <t>PINTURA TAPA EXOSTO LAVADA</t>
  </si>
  <si>
    <t xml:space="preserve">LAVADA </t>
  </si>
  <si>
    <t>ARREGLO MOTOR DE ARRANQUE Y ESCOBILLAS</t>
  </si>
  <si>
    <t>237/06/2025</t>
  </si>
  <si>
    <t xml:space="preserve">PCV </t>
  </si>
  <si>
    <t>PLATA</t>
  </si>
  <si>
    <t>NICOLAS BOBADILLA</t>
  </si>
  <si>
    <t>KTM SIX DAYS</t>
  </si>
  <si>
    <t>SOLDADURA</t>
  </si>
  <si>
    <t>PML 06E</t>
  </si>
  <si>
    <t>CAMBIO DE CADENA Y PLATO</t>
  </si>
  <si>
    <t>CB 110</t>
  </si>
  <si>
    <t>TOTAL;</t>
  </si>
  <si>
    <t>CHY 18C</t>
  </si>
  <si>
    <t>JOHAN QUIROGA</t>
  </si>
  <si>
    <t>MANTENIMIENTO DE TRAPECIO</t>
  </si>
  <si>
    <t>ARREGLO BUJES DE TRAPECIO</t>
  </si>
  <si>
    <t>MANTENIMIENTO DE TIJERA</t>
  </si>
  <si>
    <t>VINO TINTO</t>
  </si>
  <si>
    <t>AVELARDO</t>
  </si>
  <si>
    <t>CAMBIO LIGAS DE FRENO</t>
  </si>
  <si>
    <t>ORING CULATAS</t>
  </si>
  <si>
    <t>UKN 27E</t>
  </si>
  <si>
    <t>VKN 27E</t>
  </si>
  <si>
    <t>BUD 44G</t>
  </si>
  <si>
    <t>CRISTIAN OCHOA</t>
  </si>
  <si>
    <t>PULSAR 220</t>
  </si>
  <si>
    <t>VZR 04C</t>
  </si>
  <si>
    <t>WEIMAR</t>
  </si>
  <si>
    <t>KIT DE DISCOS Y TAMBOR</t>
  </si>
  <si>
    <t>MOTOTR DE ARRANQUE</t>
  </si>
  <si>
    <t>BARRA MTO Y ACEITE</t>
  </si>
  <si>
    <t>CB190</t>
  </si>
  <si>
    <t>CCQ 77G</t>
  </si>
  <si>
    <t>JUAN CAMILO FORERO</t>
  </si>
  <si>
    <t>CAMBIO DE ACORONA</t>
  </si>
  <si>
    <t>HUSQVARNA</t>
  </si>
  <si>
    <t>ERR23F</t>
  </si>
  <si>
    <t>WILSON CAICEDO</t>
  </si>
  <si>
    <t>GUAYA</t>
  </si>
  <si>
    <t>BASE Y MANIGUEA</t>
  </si>
  <si>
    <t>MANIGUETA</t>
  </si>
  <si>
    <t>JXA 50D</t>
  </si>
  <si>
    <t>EDGARDO</t>
  </si>
  <si>
    <t>LLANT TRASERA</t>
  </si>
  <si>
    <t>RETOQUE CHASIS</t>
  </si>
  <si>
    <t>WUP 78C</t>
  </si>
  <si>
    <t>MANUEL</t>
  </si>
  <si>
    <t>TRANSPORTE</t>
  </si>
  <si>
    <t>HFL 85G</t>
  </si>
  <si>
    <t>AZUK</t>
  </si>
  <si>
    <t>MANO DE OBRA KIT DE ARRASTRE</t>
  </si>
  <si>
    <t>MT 03</t>
  </si>
  <si>
    <t>PEN 96F</t>
  </si>
  <si>
    <t>JULIAN GUTIERREZ</t>
  </si>
  <si>
    <t>OGQ 17D</t>
  </si>
  <si>
    <t>SEBASTIAN GUERRERO</t>
  </si>
  <si>
    <t xml:space="preserve">TOTAL: </t>
  </si>
  <si>
    <t>DBG 60E</t>
  </si>
  <si>
    <t>JOHN PULIDO</t>
  </si>
  <si>
    <t>FILTRO DE ACITE</t>
  </si>
  <si>
    <t>FILTRO DE AIRE KYN</t>
  </si>
  <si>
    <t>FMF 32C</t>
  </si>
  <si>
    <t>JESUS</t>
  </si>
  <si>
    <t>DBB 09E</t>
  </si>
  <si>
    <t>MARIO RIAÑO</t>
  </si>
  <si>
    <t>VALVULINA</t>
  </si>
  <si>
    <t>TUD 14G</t>
  </si>
  <si>
    <t>PDD 60C</t>
  </si>
  <si>
    <t>CB 160</t>
  </si>
  <si>
    <t>IWH 58F</t>
  </si>
  <si>
    <t>DAVID GUTIERREZ</t>
  </si>
  <si>
    <t>SOLDADURA DE EXOSTO</t>
  </si>
  <si>
    <t>Z1000</t>
  </si>
  <si>
    <t>JXC 36D</t>
  </si>
  <si>
    <t>JHONNY CRUZ</t>
  </si>
  <si>
    <t>CZX 51C</t>
  </si>
  <si>
    <t>MARIO SAAVEDRA</t>
  </si>
  <si>
    <t>PESA</t>
  </si>
  <si>
    <t>YIT 44F</t>
  </si>
  <si>
    <t>ANDRES GUERRERO</t>
  </si>
  <si>
    <t>PERA DE CLUTCH</t>
  </si>
  <si>
    <t>RETIRAR ACCESORIOS</t>
  </si>
  <si>
    <t>Z800</t>
  </si>
  <si>
    <t>YSO 87D</t>
  </si>
  <si>
    <t>SANTIAGO CASTILLO</t>
  </si>
  <si>
    <t>ARREGLO FISURA TAPA VOLANTE</t>
  </si>
  <si>
    <t>MANTENIMIENTO ACELERADOR</t>
  </si>
  <si>
    <t>USF 77D</t>
  </si>
  <si>
    <t>JUAN CARDONA</t>
  </si>
  <si>
    <t>RADIOS TRASEROS</t>
  </si>
  <si>
    <t>ARREGLO AMORTIGUADOR</t>
  </si>
  <si>
    <t>MTO TRAPECIO</t>
  </si>
  <si>
    <t>CALCOMANIAS</t>
  </si>
  <si>
    <t>MTO Y RETEN DE CLUTCH</t>
  </si>
  <si>
    <t xml:space="preserve">DUCATI </t>
  </si>
  <si>
    <t>ESCRAMBLER</t>
  </si>
  <si>
    <t>VICTOR</t>
  </si>
  <si>
    <t>CORREAS LAVADA</t>
  </si>
  <si>
    <t>MKT 81C</t>
  </si>
  <si>
    <t>ANDRES CALDERON</t>
  </si>
  <si>
    <t>FILTRO DEA CEITE</t>
  </si>
  <si>
    <t>MTO FILTRO DE AIRE</t>
  </si>
  <si>
    <t>MTO KIT DE ARRASTRE</t>
  </si>
  <si>
    <t>PINTURA GUSRDABARRO SEL</t>
  </si>
  <si>
    <t>BOMBILLO H 4</t>
  </si>
  <si>
    <t>COCUYO</t>
  </si>
  <si>
    <t>JYB 17F</t>
  </si>
  <si>
    <t>PIT 58E</t>
  </si>
  <si>
    <t>ALEJANDRO NUÑEZ</t>
  </si>
  <si>
    <t>MANTENIMEINTO DE BARAS</t>
  </si>
  <si>
    <t>GUARDAPOLVOS</t>
  </si>
  <si>
    <t>CAMBIO DE GATO</t>
  </si>
  <si>
    <t>UHY 48D</t>
  </si>
  <si>
    <t>CRONIC</t>
  </si>
  <si>
    <t>ARREGLO 3 BOBINAS</t>
  </si>
  <si>
    <t>INSTALACION EXPLORADORAS</t>
  </si>
  <si>
    <t>CF 400</t>
  </si>
  <si>
    <t>YWD 46G</t>
  </si>
  <si>
    <t>ALEJANDRO DURAN</t>
  </si>
  <si>
    <t>ARREGLO DE RINES</t>
  </si>
  <si>
    <t>TENERE 250</t>
  </si>
  <si>
    <t>UIT 03D</t>
  </si>
  <si>
    <t>WILSON GUERRERO</t>
  </si>
  <si>
    <t>GUAYAS DE CLUTCH Y ACELERADOR</t>
  </si>
  <si>
    <t>ODV 64E</t>
  </si>
  <si>
    <t>ODV 64D</t>
  </si>
  <si>
    <t>ORK 92C</t>
  </si>
  <si>
    <t>RAUL BARRETO</t>
  </si>
  <si>
    <t xml:space="preserve">PROTECTOR DE EXOSTO </t>
  </si>
  <si>
    <t>AJUSTE DE MULETA Y GATO</t>
  </si>
  <si>
    <t>CABLES DE EXPLORADORAS</t>
  </si>
  <si>
    <t>QVA 88C</t>
  </si>
  <si>
    <t>CARLOS DURAN</t>
  </si>
  <si>
    <t>POSAPIES TRASEROS</t>
  </si>
  <si>
    <t>TORNILLERIA</t>
  </si>
  <si>
    <t>LLANTA TRASERA</t>
  </si>
  <si>
    <t>BOMBILLOS STOP</t>
  </si>
  <si>
    <t>MANILARES</t>
  </si>
  <si>
    <t>EMBLEMAS</t>
  </si>
  <si>
    <t>ARREGLO CARENAJE</t>
  </si>
  <si>
    <t>POSAPIES DELANTEROS</t>
  </si>
  <si>
    <t>SOCKET Y CONECTOR DIRECCIONAL</t>
  </si>
  <si>
    <t>YPJ 49G</t>
  </si>
  <si>
    <t>TATIANA PEREZ</t>
  </si>
  <si>
    <t>AGILITY</t>
  </si>
  <si>
    <t>JOM 19F</t>
  </si>
  <si>
    <t>DIEGO</t>
  </si>
  <si>
    <t>FILTRO DE ACEIT</t>
  </si>
  <si>
    <t>JJH 97B</t>
  </si>
  <si>
    <t>JSH 97B</t>
  </si>
  <si>
    <t>CAMBIO DE CORONA</t>
  </si>
  <si>
    <t>VERSYS 250</t>
  </si>
  <si>
    <t>ODY 11E</t>
  </si>
  <si>
    <t>MANO DE OBRA CUNAS</t>
  </si>
  <si>
    <t>CAMBIO DE COCUYOS</t>
  </si>
  <si>
    <t>RAFAEL</t>
  </si>
  <si>
    <t>MODIFICACION DE EXOSTO</t>
  </si>
  <si>
    <t>BOMBILLO LUZ DE PLACA</t>
  </si>
  <si>
    <t>OCC 18C</t>
  </si>
  <si>
    <t>JOHN MAHECHA</t>
  </si>
  <si>
    <t>TAPA DE REFRIGERANTE</t>
  </si>
  <si>
    <t>MANTENIMITO DE CARDAN</t>
  </si>
  <si>
    <t>RODAMIENTO TIJERA</t>
  </si>
  <si>
    <t>RETEN DE CARDAN</t>
  </si>
  <si>
    <t>ACEITE XTZ</t>
  </si>
  <si>
    <t>OBZ 76E</t>
  </si>
  <si>
    <t>JAVIER GARCIA</t>
  </si>
  <si>
    <t>XT 660</t>
  </si>
  <si>
    <t>FNT 81C</t>
  </si>
  <si>
    <t>WILLIAM QUEVEDO</t>
  </si>
  <si>
    <t>FYR 39E</t>
  </si>
  <si>
    <t>NILSON CORREA</t>
  </si>
  <si>
    <t>EMPAQUE</t>
  </si>
  <si>
    <t>BMW R1200GS</t>
  </si>
  <si>
    <t>OGN 09D</t>
  </si>
  <si>
    <t>LEONARDO COSSIO</t>
  </si>
  <si>
    <t>FILTRO DE AORE</t>
  </si>
  <si>
    <t>MANTENIMIENTO SUSPENSION Y TRANSMISION</t>
  </si>
  <si>
    <t>FJV 38E</t>
  </si>
  <si>
    <t>LDZ 71F</t>
  </si>
  <si>
    <t>ERK 46D</t>
  </si>
  <si>
    <t>GIOVANNY BARRERA</t>
  </si>
  <si>
    <t>BZI 39G</t>
  </si>
  <si>
    <t>LUIS FELIPE BEJARANO</t>
  </si>
  <si>
    <t>LUBRICACION DE GUAYAS</t>
  </si>
  <si>
    <t>RIN MANO DE OBRA</t>
  </si>
  <si>
    <t>ARREGLO RIN</t>
  </si>
  <si>
    <t>NVD 36D</t>
  </si>
  <si>
    <t>MARIO CARBONELL</t>
  </si>
  <si>
    <t>RADIADOR</t>
  </si>
  <si>
    <t>REFRIGERANTE MANO DE OBRA</t>
  </si>
  <si>
    <t>BMW R1200</t>
  </si>
  <si>
    <t>ARB 68</t>
  </si>
  <si>
    <t>ADELMO</t>
  </si>
  <si>
    <t>TAPA</t>
  </si>
  <si>
    <t>DISCO DE CLUTCH</t>
  </si>
  <si>
    <t>IAF 06H</t>
  </si>
  <si>
    <t>TOTAL</t>
  </si>
  <si>
    <t>IXW 87E</t>
  </si>
  <si>
    <t>RODAMIENTO TRASERO</t>
  </si>
  <si>
    <t>MTO RUEDAS</t>
  </si>
  <si>
    <t>RETEN</t>
  </si>
  <si>
    <t>GAT 56E</t>
  </si>
  <si>
    <t>LUIS VERGARA</t>
  </si>
  <si>
    <t>MANTENIMIRNTO GENERAL</t>
  </si>
  <si>
    <t>2 GUAYAS</t>
  </si>
  <si>
    <t>FLD 92F</t>
  </si>
  <si>
    <t>FZ 2.0</t>
  </si>
  <si>
    <t>LGL 26E</t>
  </si>
  <si>
    <t>DIEGO GUZMAN</t>
  </si>
  <si>
    <t>MANUBRIO</t>
  </si>
  <si>
    <t>BUJES DE TIJERA</t>
  </si>
  <si>
    <t>BOMBA DE FRENO</t>
  </si>
  <si>
    <t>PESAS</t>
  </si>
  <si>
    <t>ROC 37F</t>
  </si>
  <si>
    <t>NESTOR PINILLA</t>
  </si>
  <si>
    <t>ARREGLO Y PINURA DE TANQUE</t>
  </si>
  <si>
    <t>SANTIAGO</t>
  </si>
  <si>
    <t>DOMINAR</t>
  </si>
  <si>
    <t>JHONATAN MENDOZA</t>
  </si>
  <si>
    <t>REVISAR TEME ELECTRICO</t>
  </si>
  <si>
    <t>YXJ 36D</t>
  </si>
  <si>
    <t xml:space="preserve">KIT DE CILINDRO </t>
  </si>
  <si>
    <t xml:space="preserve">DESLIZADORES </t>
  </si>
  <si>
    <t>EMPAQUE TADURA</t>
  </si>
  <si>
    <t>ACEITE 20W50</t>
  </si>
  <si>
    <t xml:space="preserve">MANO DE OBRA </t>
  </si>
  <si>
    <t>MTO BARRA DERECHA</t>
  </si>
  <si>
    <t>PINTURA GUASRDABARRO</t>
  </si>
  <si>
    <t>PLATEADO</t>
  </si>
  <si>
    <t>MANTENIMIENTO ANUAL</t>
  </si>
  <si>
    <t>CR4</t>
  </si>
  <si>
    <t>VKZ 84G</t>
  </si>
  <si>
    <t>CAMILO RIVERA</t>
  </si>
  <si>
    <t>MTO DE BARRA</t>
  </si>
  <si>
    <t>XTZ 150</t>
  </si>
  <si>
    <t xml:space="preserve">FELIPE PEÑA </t>
  </si>
  <si>
    <t>DOMINAR 250</t>
  </si>
  <si>
    <t>LBQ 75G</t>
  </si>
  <si>
    <t>JORGE GARZON</t>
  </si>
  <si>
    <t>TOTAL.</t>
  </si>
  <si>
    <t>JTG 41E</t>
  </si>
  <si>
    <t>UTG 41E</t>
  </si>
  <si>
    <t>ROJAS</t>
  </si>
  <si>
    <t>BMW R1250</t>
  </si>
  <si>
    <t>CKJ 06F</t>
  </si>
  <si>
    <t>JHOSEF HOYOS</t>
  </si>
  <si>
    <t>BAJAR MOTOR DE CUPULA</t>
  </si>
  <si>
    <t>ST</t>
  </si>
  <si>
    <t>FILTRO DE GASOLINA</t>
  </si>
  <si>
    <t xml:space="preserve">ST </t>
  </si>
  <si>
    <t>XXK 10F</t>
  </si>
  <si>
    <t>HAROLD TAMAYO</t>
  </si>
  <si>
    <t>REVISAR BOTON ESTACIONARIAS</t>
  </si>
  <si>
    <t xml:space="preserve">ARREGLO CALEFACTORES </t>
  </si>
  <si>
    <t>DEFENSAS</t>
  </si>
  <si>
    <t>INSTALAR EXPLORADORAS</t>
  </si>
  <si>
    <t>MARCO DE PLACA</t>
  </si>
  <si>
    <t>SOPORTE</t>
  </si>
  <si>
    <t>BMW F700</t>
  </si>
  <si>
    <t>VXQ 08D</t>
  </si>
  <si>
    <t>ARREGLO SOPORTE GATO</t>
  </si>
  <si>
    <t>AJUSTAR SENSOR DE MULETA</t>
  </si>
  <si>
    <t>CAMBIO LIQUIDO DE FRNEOS</t>
  </si>
  <si>
    <t>MTO KIT DE ARRSTRE</t>
  </si>
  <si>
    <t>OAZ 26E</t>
  </si>
  <si>
    <t>LEONARDO VANEGAS</t>
  </si>
  <si>
    <t>MTO GENERAL</t>
  </si>
  <si>
    <t>MTO CARDAN</t>
  </si>
  <si>
    <t>DDE 21E</t>
  </si>
  <si>
    <t>OMAR PEREZ</t>
  </si>
  <si>
    <t>MTO DE BARRAS</t>
  </si>
  <si>
    <t>MTO DE TRAPECIO Y TIJERA</t>
  </si>
  <si>
    <t>PINTURA DE MANIJAS</t>
  </si>
  <si>
    <t>BIELETAS</t>
  </si>
  <si>
    <t>MTO DE CARDAN</t>
  </si>
  <si>
    <t>PULIDA DE EXOSTO</t>
  </si>
  <si>
    <t>PINTURA TAPA ZE</t>
  </si>
  <si>
    <t>PINTURA EXOSTO</t>
  </si>
  <si>
    <t>RETIRAR CALCAS</t>
  </si>
  <si>
    <t>POLICHADO DE TTANQUE</t>
  </si>
  <si>
    <t>DISCO DE FRENO</t>
  </si>
  <si>
    <t>ARREGLO DE GATO CENTRAL</t>
  </si>
  <si>
    <t>PINTURA DEFENSAS</t>
  </si>
  <si>
    <t>RETOQUES CHASIS</t>
  </si>
  <si>
    <t>POLICHADO DE VIDOR</t>
  </si>
  <si>
    <t>INSTALACION DE EXPLORADORAS</t>
  </si>
  <si>
    <t>INSTALACION DISCO DE FRENO</t>
  </si>
  <si>
    <t>LINCON</t>
  </si>
  <si>
    <t>EMPAQUE TADURA MEDIA</t>
  </si>
  <si>
    <t>DAW 98E</t>
  </si>
  <si>
    <t>FRNACISCO ROJAS</t>
  </si>
  <si>
    <t>VELOCIDAD CRUCERO</t>
  </si>
  <si>
    <t>PINTURA DE PESAS</t>
  </si>
  <si>
    <t>TORNILLO EXPLOR&lt;ADORA</t>
  </si>
  <si>
    <t>PULIR CUPULA</t>
  </si>
  <si>
    <t>LCF 51F</t>
  </si>
  <si>
    <t>MANUEL GRACIA</t>
  </si>
  <si>
    <t>OAS 92E</t>
  </si>
  <si>
    <t>ARENA</t>
  </si>
  <si>
    <t>TALONERAS</t>
  </si>
  <si>
    <t>PASTILLAS DEL</t>
  </si>
  <si>
    <t>PASTILLAS TRAS</t>
  </si>
  <si>
    <t>R7</t>
  </si>
  <si>
    <t>CSU 63G</t>
  </si>
  <si>
    <t>MTO PREVENTIVO</t>
  </si>
  <si>
    <t>DCB 35E</t>
  </si>
  <si>
    <t>CAMILA PINILLA</t>
  </si>
  <si>
    <t>GUAYAS  DE CLUTCH</t>
  </si>
  <si>
    <t>UNIFICACION DE LLAVES</t>
  </si>
  <si>
    <t>TAPIZADO SILLAS</t>
  </si>
  <si>
    <t>N MAX</t>
  </si>
  <si>
    <t>OHR 16F</t>
  </si>
  <si>
    <t>NIVEL DE REFRIGERANTE</t>
  </si>
  <si>
    <t>REVISION FILTRO DE AIRE</t>
  </si>
  <si>
    <t>YQM 72E</t>
  </si>
  <si>
    <t>JOHN GALEANO</t>
  </si>
  <si>
    <t>TAPIZADO SE SILLAS</t>
  </si>
  <si>
    <t>ENDEREZAR BARRAS</t>
  </si>
  <si>
    <t>´PASTILLAS</t>
  </si>
  <si>
    <t>VEJ 52D</t>
  </si>
  <si>
    <t>JEISON</t>
  </si>
  <si>
    <t>AJUSRE DE TAPAS</t>
  </si>
  <si>
    <t>MGM 62C</t>
  </si>
  <si>
    <t>MORADO</t>
  </si>
  <si>
    <t>BMW 1250</t>
  </si>
  <si>
    <t>ODN 02E</t>
  </si>
  <si>
    <t xml:space="preserve">SALDO </t>
  </si>
  <si>
    <t>AJUSTE CAJON</t>
  </si>
  <si>
    <t>DBKILLER</t>
  </si>
  <si>
    <t xml:space="preserve">SUPER TENERE </t>
  </si>
  <si>
    <t>AO47UWI</t>
  </si>
  <si>
    <t>ALEJANDRO PARADISO</t>
  </si>
  <si>
    <t>CAMBIO REFRIGERANTE</t>
  </si>
  <si>
    <t>JWZ 42D</t>
  </si>
  <si>
    <t>NICOLAS RUBIO</t>
  </si>
  <si>
    <t>TAPON DE CARDAN</t>
  </si>
  <si>
    <t>MULTIESTRADA</t>
  </si>
  <si>
    <t>OFI 49E</t>
  </si>
  <si>
    <t>GUILLERMO MARTINEZ</t>
  </si>
  <si>
    <t xml:space="preserve">PASTILLAS </t>
  </si>
  <si>
    <t>CAMBIO DE LIQUIDOS</t>
  </si>
  <si>
    <t>ODA 38G</t>
  </si>
  <si>
    <t>MTO BARRA IZQUIERDA</t>
  </si>
  <si>
    <t>OEB 35C</t>
  </si>
  <si>
    <t>DAVID VARGAS</t>
  </si>
  <si>
    <t>CAMBIO DE ACEIT</t>
  </si>
  <si>
    <t>CAMBIO DE VALVULINA</t>
  </si>
  <si>
    <t>OHO 31D</t>
  </si>
  <si>
    <t xml:space="preserve">CARLOS </t>
  </si>
  <si>
    <t xml:space="preserve">DEPURACION </t>
  </si>
  <si>
    <t>ANDRES DIAZ</t>
  </si>
  <si>
    <t>MATO GENERAL</t>
  </si>
  <si>
    <t>CAJA FILTRO</t>
  </si>
  <si>
    <t>ORRING</t>
  </si>
  <si>
    <t>ARREGLO SOPORTE PORTAMALETAS</t>
  </si>
  <si>
    <t>LIMPIEZA TAPA PIÑON</t>
  </si>
  <si>
    <t>JAQ 68D</t>
  </si>
  <si>
    <t>SEÑOR VALENCIA</t>
  </si>
  <si>
    <t>JESUS SARMIENTO</t>
  </si>
  <si>
    <t>TAPON DE TIJERA</t>
  </si>
  <si>
    <t>RETEFUENTE</t>
  </si>
  <si>
    <t xml:space="preserve">IVA </t>
  </si>
  <si>
    <t>RETEICA</t>
  </si>
  <si>
    <t xml:space="preserve">TOTAL A PAGAR </t>
  </si>
  <si>
    <t xml:space="preserve">VALOR PAGADO </t>
  </si>
  <si>
    <t>A TRANSFERIR</t>
  </si>
  <si>
    <t>OEG 03E</t>
  </si>
  <si>
    <t>CROMO DE OBRRA</t>
  </si>
  <si>
    <t>SUPER TENER</t>
  </si>
  <si>
    <t>CQW 69</t>
  </si>
  <si>
    <t>ARREGLO DE PITOS</t>
  </si>
  <si>
    <t>YCQ 82C</t>
  </si>
  <si>
    <t>FREDY AVENDAÑO</t>
  </si>
  <si>
    <t>SELLO BOMBA DE AGUA</t>
  </si>
  <si>
    <t>RADIO TRASERO</t>
  </si>
  <si>
    <t>AKT 150</t>
  </si>
  <si>
    <t>GFE 33H</t>
  </si>
  <si>
    <t>SEBASTIAN LOPEZ</t>
  </si>
  <si>
    <t>RODAMIENTO</t>
  </si>
  <si>
    <t>JAIRO CHAMORRO</t>
  </si>
  <si>
    <t>ARREGLO ECO Y TABLERO</t>
  </si>
  <si>
    <t>ARREGLO DE FAROLA</t>
  </si>
  <si>
    <t>SEGURO DE SILLA</t>
  </si>
  <si>
    <t>BATERIA}</t>
  </si>
  <si>
    <t>SUPE TENERE</t>
  </si>
  <si>
    <t>LUIS FERNANDO GIRALDO</t>
  </si>
  <si>
    <t>BOBINA</t>
  </si>
  <si>
    <t>R3</t>
  </si>
  <si>
    <t>ARREGLO CIGÜEÑAL</t>
  </si>
  <si>
    <t>DR 650</t>
  </si>
  <si>
    <t>VKP 11D</t>
  </si>
  <si>
    <t>ENSAMBLE Y DESENSAMBLE DE MOTOR</t>
  </si>
  <si>
    <t>ENSAMBLE Y DESENSAMBLE PARTES PLASTICAS</t>
  </si>
  <si>
    <t>OEJ 12D</t>
  </si>
  <si>
    <t>QEJ 12D</t>
  </si>
  <si>
    <t>JIMMY BERNAL</t>
  </si>
  <si>
    <t>MANO DE OBRA PIÑON DELANTERO</t>
  </si>
  <si>
    <t>SBI 32D</t>
  </si>
  <si>
    <t>KIRIL</t>
  </si>
  <si>
    <t xml:space="preserve">PIAGGIO </t>
  </si>
  <si>
    <t>YSI 32D</t>
  </si>
  <si>
    <t>INSTALACION SOPORTE</t>
  </si>
  <si>
    <t>SOO 81</t>
  </si>
  <si>
    <t>JUAN DIEGO</t>
  </si>
  <si>
    <t>ZFC 89C</t>
  </si>
  <si>
    <t xml:space="preserve">CARDAN </t>
  </si>
  <si>
    <t>RETENES BOMBA DE AGUA</t>
  </si>
  <si>
    <t>CB 190</t>
  </si>
  <si>
    <t>CABEZAS</t>
  </si>
  <si>
    <t>BALANCINES</t>
  </si>
  <si>
    <t>ODV 79D</t>
  </si>
  <si>
    <t>MANTENIMIENTO DE BARRA</t>
  </si>
  <si>
    <t>VERSYS</t>
  </si>
  <si>
    <t>DBO 57E</t>
  </si>
  <si>
    <t>PASTILLAS TRSERAS</t>
  </si>
  <si>
    <t>QEZ 66E</t>
  </si>
  <si>
    <t>ANDRES LOPEZ</t>
  </si>
  <si>
    <t>MMTO PREVENTIVO</t>
  </si>
  <si>
    <t>LCC 92D</t>
  </si>
  <si>
    <t>LCC 97D</t>
  </si>
  <si>
    <t>CRISTIAN ARIZA</t>
  </si>
  <si>
    <t>LUBRICANTE DE VADENA</t>
  </si>
  <si>
    <t>FTY 21H</t>
  </si>
  <si>
    <t>CAMILO NOY</t>
  </si>
  <si>
    <t>MATENIMIENTO GENERAL</t>
  </si>
  <si>
    <t>KJM 21G</t>
  </si>
  <si>
    <t>MUP 98E</t>
  </si>
  <si>
    <t>EMPAQUETADURA MEDIA</t>
  </si>
  <si>
    <t>JJH 06D</t>
  </si>
  <si>
    <t>BCC 61E</t>
  </si>
  <si>
    <t>EDILBERTO BALLEN</t>
  </si>
  <si>
    <t>BMW 1200 GS</t>
  </si>
  <si>
    <t>ZAV 88D</t>
  </si>
  <si>
    <t>ODD 80E</t>
  </si>
  <si>
    <t>DAVID URIBE</t>
  </si>
  <si>
    <t>ACEITE DE MOTOR</t>
  </si>
  <si>
    <t>ARREGLO DE BOBINAS</t>
  </si>
  <si>
    <t>BMW F750</t>
  </si>
  <si>
    <t>LCQ 87F</t>
  </si>
  <si>
    <t>INSTALACION PASTILLAS DELANTERAS</t>
  </si>
  <si>
    <t>INSTALACION PORTA PLACA</t>
  </si>
  <si>
    <t>LCK 15F</t>
  </si>
  <si>
    <t>NKV 93G</t>
  </si>
  <si>
    <t>EMBOBINADO DE CORONA</t>
  </si>
  <si>
    <t>CB 160 F</t>
  </si>
  <si>
    <t>OVQ 83E</t>
  </si>
  <si>
    <t>DCB</t>
  </si>
  <si>
    <t>SOLDADURA CHASIS</t>
  </si>
  <si>
    <t>EXTRACCION DE TORNILLO</t>
  </si>
  <si>
    <t>WILLIAM CASTRO</t>
  </si>
  <si>
    <t>MTO ACELERADOR</t>
  </si>
  <si>
    <t>LVADA</t>
  </si>
  <si>
    <t>BALANCEO LLANTA}</t>
  </si>
  <si>
    <t>BMW F 750</t>
  </si>
  <si>
    <t>OEL 80E</t>
  </si>
  <si>
    <t>ARREGLO HANDSAVER</t>
  </si>
  <si>
    <t>PINTURA ELECTROSTATICA</t>
  </si>
  <si>
    <t>ENDEREZAR RINES</t>
  </si>
  <si>
    <t>PINTURA TAPAS DIRECCIONALES</t>
  </si>
  <si>
    <t>MOTOR</t>
  </si>
  <si>
    <t>MANO DE OPBRA</t>
  </si>
  <si>
    <t>EMPAQUE TAPA CARTER</t>
  </si>
  <si>
    <t>PINTURA TAPAS DE MOTOR</t>
  </si>
  <si>
    <t>JYK 06D</t>
  </si>
  <si>
    <t>IVAN RIVERA</t>
  </si>
  <si>
    <t>YRA 16D</t>
  </si>
  <si>
    <t>JOHN PINEDA</t>
  </si>
  <si>
    <t>OCH 92E</t>
  </si>
  <si>
    <t>JUAN CARLOS LOPEZ</t>
  </si>
  <si>
    <t>ZCU 69C</t>
  </si>
  <si>
    <t>EJE DE CAMBIOS</t>
  </si>
  <si>
    <t>MECANISMO EJE DE CANBIOS</t>
  </si>
  <si>
    <t>BUJIA</t>
  </si>
  <si>
    <t>ARREGLO DE PRENSA</t>
  </si>
  <si>
    <t>HUGO RINCON</t>
  </si>
  <si>
    <t>LUBRICACION GUAYA DE CLUTCH</t>
  </si>
  <si>
    <t>OGA 46C</t>
  </si>
  <si>
    <t>WILLIAM ROJAS</t>
  </si>
  <si>
    <t>TORNILLO CARTER</t>
  </si>
  <si>
    <t>Z 1000</t>
  </si>
  <si>
    <t>FJF 86G</t>
  </si>
  <si>
    <t xml:space="preserve">CUNAS </t>
  </si>
  <si>
    <t xml:space="preserve">GIXXER </t>
  </si>
  <si>
    <t xml:space="preserve">IBQ 27H </t>
  </si>
  <si>
    <t>NICOLAS</t>
  </si>
  <si>
    <t>PIÑON DE ARRATSRE</t>
  </si>
  <si>
    <t>TOTL:</t>
  </si>
  <si>
    <t>MXU 75H</t>
  </si>
  <si>
    <t>SEBASTIAN RAMIREZ</t>
  </si>
  <si>
    <t xml:space="preserve">FILTROS </t>
  </si>
  <si>
    <t>CARLOS PARDO</t>
  </si>
  <si>
    <t>WILLIAM CASTIBLANCO</t>
  </si>
  <si>
    <t>DIEGO RODRIGUEZ</t>
  </si>
  <si>
    <t>JUAN F SANCHEZ</t>
  </si>
  <si>
    <t>JOSE ESPITIA</t>
  </si>
  <si>
    <t>ALEJANDRO GALVIS</t>
  </si>
  <si>
    <t>JESUS FIGUEROA</t>
  </si>
  <si>
    <t>JOHN CASTILLO</t>
  </si>
  <si>
    <t>IVAN VANEGAS</t>
  </si>
  <si>
    <t>CAMILO SUA</t>
  </si>
  <si>
    <t>OLC 80B</t>
  </si>
  <si>
    <t>INDEPENDENCE</t>
  </si>
  <si>
    <t>REVISAR PASTILLAS</t>
  </si>
  <si>
    <t xml:space="preserve">S1000XR </t>
  </si>
  <si>
    <t xml:space="preserve">JOSE </t>
  </si>
  <si>
    <t>SOLDADURA MANIGUETA</t>
  </si>
  <si>
    <t>RETOQUE DEFENSA</t>
  </si>
  <si>
    <t>AJUSTE TAPA CARENAJE</t>
  </si>
  <si>
    <t>PINTURA PARRILLA</t>
  </si>
  <si>
    <t>CAQ 82H</t>
  </si>
  <si>
    <t>ALEJANDRO ARDILA</t>
  </si>
  <si>
    <t>REVISAR RUIDO</t>
  </si>
  <si>
    <t>JMN 56G</t>
  </si>
  <si>
    <t>LAURA HERRERA</t>
  </si>
  <si>
    <t>RETIRAR EXPLORADORAS</t>
  </si>
  <si>
    <t>SV 650</t>
  </si>
  <si>
    <t>YNI 10F</t>
  </si>
  <si>
    <t>JUAN PABLO ARDILA</t>
  </si>
  <si>
    <t>NO PRENDE</t>
  </si>
  <si>
    <t>ANGEL ALONSO</t>
  </si>
  <si>
    <t>REVISAR UAYA DE CLUTCH</t>
  </si>
  <si>
    <t>REVISAR LLANTA</t>
  </si>
  <si>
    <t>ARREGLO TACOMETRO</t>
  </si>
  <si>
    <t>REVISAR SONIDO MOTOR</t>
  </si>
  <si>
    <t>LYW 10A</t>
  </si>
  <si>
    <t xml:space="preserve">JHON MELO </t>
  </si>
  <si>
    <t>REVISAR A VECES SE AHOGA</t>
  </si>
  <si>
    <t>SE DEMORA EN ARRANCAR</t>
  </si>
  <si>
    <t>NND 97F</t>
  </si>
  <si>
    <t>HERNAN PINEDA</t>
  </si>
  <si>
    <t>JULIAN PENAGOS</t>
  </si>
  <si>
    <t>ARREGLO HAND SABER</t>
  </si>
  <si>
    <t>SOPORTE GPS</t>
  </si>
  <si>
    <t xml:space="preserve"> </t>
  </si>
  <si>
    <t>XCD 125</t>
  </si>
  <si>
    <t>FABIAN MENDEZ</t>
  </si>
  <si>
    <t xml:space="preserve">ARREGLO PARTE ELECTRICA </t>
  </si>
  <si>
    <t>R 15</t>
  </si>
  <si>
    <t>OIL 30D</t>
  </si>
  <si>
    <t>DAVID GALLEGO</t>
  </si>
  <si>
    <t>REVISAR Y COTIZAR CLUTCH</t>
  </si>
  <si>
    <t>FZ</t>
  </si>
  <si>
    <t>ETK 67E</t>
  </si>
  <si>
    <t>FILTRO</t>
  </si>
  <si>
    <t>PKP 08F</t>
  </si>
  <si>
    <t>RICHARD</t>
  </si>
  <si>
    <t>BDT 76H</t>
  </si>
  <si>
    <t>FABIO LOPEZ</t>
  </si>
  <si>
    <t>ARREGLO SWITCH</t>
  </si>
  <si>
    <t>Z 800</t>
  </si>
  <si>
    <t>RYO 23D</t>
  </si>
  <si>
    <t>MAICOL</t>
  </si>
  <si>
    <t>REVISAR Y ARREGLAR RUIDO</t>
  </si>
  <si>
    <t>YQG 71E</t>
  </si>
  <si>
    <t>CRISTIAN COCA</t>
  </si>
  <si>
    <t>XCAMBIAR GUAYA DE CLUTCH</t>
  </si>
  <si>
    <t>JES 99C</t>
  </si>
  <si>
    <t>FERNANDO LEON</t>
  </si>
  <si>
    <t>ZWP 80D</t>
  </si>
  <si>
    <t>SANDER BARBOSA</t>
  </si>
  <si>
    <t>MOTOVENTILADOR</t>
  </si>
  <si>
    <t>FUGA DE ACEITE SUSPENSION</t>
  </si>
  <si>
    <t>ARREGLO EXPLORADORA</t>
  </si>
  <si>
    <t>VNH 79F</t>
  </si>
  <si>
    <t>CARLOS GUSTAVO</t>
  </si>
  <si>
    <t>KRM 66C</t>
  </si>
  <si>
    <t>EUJ 64G</t>
  </si>
  <si>
    <t>VICTOR SALAZAR</t>
  </si>
  <si>
    <t>RTX 150</t>
  </si>
  <si>
    <t>JQZ 22E</t>
  </si>
  <si>
    <t>DANIEL DAZA</t>
  </si>
  <si>
    <t>BOBINA DE ENCENDIDO</t>
  </si>
  <si>
    <t xml:space="preserve">VERSYS </t>
  </si>
  <si>
    <t>HJU 50E</t>
  </si>
  <si>
    <t>BARRA IZQ</t>
  </si>
  <si>
    <t>SINCRONIZAR</t>
  </si>
  <si>
    <t>VIVA</t>
  </si>
  <si>
    <t>FRI 33D</t>
  </si>
  <si>
    <t>DANIEL GONZALES</t>
  </si>
  <si>
    <t>TECNOMECANOCA</t>
  </si>
  <si>
    <t>SOAT</t>
  </si>
  <si>
    <t xml:space="preserve"> TOTAL:</t>
  </si>
  <si>
    <t>BMW R 1200</t>
  </si>
  <si>
    <t>MICHAEL SAMUDIO</t>
  </si>
  <si>
    <t>CORREGIR FUGA</t>
  </si>
  <si>
    <t>FILTO DE ACEITE</t>
  </si>
  <si>
    <t>YWQ 28D</t>
  </si>
  <si>
    <t>DAVID TORRES</t>
  </si>
  <si>
    <t>PERITAJE</t>
  </si>
  <si>
    <t>CIR 42C</t>
  </si>
  <si>
    <t>FELIPE GUERRERO</t>
  </si>
  <si>
    <t>REVISA CLUTCH</t>
  </si>
  <si>
    <t>TAPIZADO SILLA}</t>
  </si>
  <si>
    <t>OBP 40E</t>
  </si>
  <si>
    <t xml:space="preserve">CAMBIO FILTRO DE AIRE </t>
  </si>
  <si>
    <t>REVISION DE FRENOS</t>
  </si>
  <si>
    <t>ALEJANDRO GOMEZ</t>
  </si>
  <si>
    <t>REVISAR ACELERADOR</t>
  </si>
  <si>
    <t>TTR 50</t>
  </si>
  <si>
    <t>30 HRS</t>
  </si>
  <si>
    <t>CAMILO CAPADOR</t>
  </si>
  <si>
    <t>MTO GENEAL</t>
  </si>
  <si>
    <t>ARREGLO CADENA</t>
  </si>
  <si>
    <t>F 800GS</t>
  </si>
  <si>
    <t>SXU 90</t>
  </si>
  <si>
    <t>PEDRO INONDO</t>
  </si>
  <si>
    <t>INSTALACION ESPEJO</t>
  </si>
  <si>
    <t>ZFB 89C</t>
  </si>
  <si>
    <t>DAVID HERNANDEZ</t>
  </si>
  <si>
    <t>SELLOS DE AGUA</t>
  </si>
  <si>
    <t>REMACHES Y SOLDADURA DE EXOSTO</t>
  </si>
  <si>
    <t>PRL 28D</t>
  </si>
  <si>
    <t>NLU 62D</t>
  </si>
  <si>
    <t>ANTONIO MATEUS</t>
  </si>
  <si>
    <t>BMW S1000 XR</t>
  </si>
  <si>
    <t>LCG 44F</t>
  </si>
  <si>
    <t>JOSE</t>
  </si>
  <si>
    <t>INSTALAR GUARDABARRO</t>
  </si>
  <si>
    <t>AJUSTAR GATO CENTRAL</t>
  </si>
  <si>
    <t>CORTAR HAND SABER</t>
  </si>
  <si>
    <t>TAPONES DEFENSAS</t>
  </si>
  <si>
    <t>UEY 88D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</si>
</sst>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41" fontId="2" fillId="2" borderId="1" xfId="2" applyFont="1" applyFill="1" applyBorder="1" applyAlignment="1">
      <alignment horizontal="center"/>
    </xf>
    <xf numFmtId="14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3" applyNumberFormat="1" applyFon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3" fontId="0" fillId="0" borderId="0" xfId="0" applyNumberFormat="1"/>
    <xf numFmtId="0" fontId="0" fillId="0" borderId="0" xfId="0" applyBorder="1"/>
    <xf numFmtId="3" fontId="3" fillId="0" borderId="0" xfId="0" applyNumberFormat="1" applyFont="1" applyBorder="1" applyAlignment="1">
      <alignment horizontal="right" vertical="center" wrapText="1"/>
    </xf>
  </cellXfs>
  <cellStyles count="4">
    <cellStyle name="Millares" xfId="1" builtinId="3"/>
    <cellStyle name="Millares [0]" xfId="2" builtinId="6"/>
    <cellStyle name="Mon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83"/>
  <sheetViews>
    <sheetView tabSelected="1" topLeftCell="A1763" zoomScale="120" zoomScaleNormal="120" workbookViewId="0">
      <selection activeCell="G1774" sqref="G1774"/>
    </sheetView>
  </sheetViews>
  <sheetFormatPr baseColWidth="10" defaultRowHeight="15" x14ac:dyDescent="0.25"/>
  <cols>
    <col min="2" max="2" width="15.140625" customWidth="1"/>
    <col min="6" max="6" width="11.42578125" style="5"/>
    <col min="7" max="7" width="24.140625" customWidth="1"/>
    <col min="8" max="8" width="13.7109375" customWidth="1"/>
    <col min="9" max="9" width="45.42578125" style="7" customWidth="1"/>
    <col min="10" max="10" width="11.85546875" style="5" customWidth="1"/>
    <col min="19" max="19" width="43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6" t="s">
        <v>8</v>
      </c>
      <c r="J1" s="2" t="s">
        <v>9</v>
      </c>
      <c r="K1" s="3" t="s">
        <v>10</v>
      </c>
      <c r="L1" s="2" t="s">
        <v>9</v>
      </c>
    </row>
    <row r="2" spans="1:12" x14ac:dyDescent="0.25">
      <c r="A2" s="4">
        <v>45779</v>
      </c>
      <c r="B2" t="s">
        <v>98</v>
      </c>
      <c r="C2" t="s">
        <v>281</v>
      </c>
      <c r="D2" t="s">
        <v>29</v>
      </c>
      <c r="E2">
        <v>2015</v>
      </c>
      <c r="F2" s="5">
        <v>74329</v>
      </c>
      <c r="G2" t="s">
        <v>282</v>
      </c>
      <c r="H2">
        <v>3125002269</v>
      </c>
      <c r="I2" s="7" t="s">
        <v>283</v>
      </c>
    </row>
    <row r="3" spans="1:12" x14ac:dyDescent="0.25">
      <c r="I3" s="7" t="s">
        <v>202</v>
      </c>
    </row>
    <row r="4" spans="1:12" x14ac:dyDescent="0.25">
      <c r="I4" s="7" t="s">
        <v>284</v>
      </c>
    </row>
    <row r="5" spans="1:12" x14ac:dyDescent="0.25">
      <c r="I5" s="7" t="s">
        <v>285</v>
      </c>
    </row>
    <row r="6" spans="1:12" x14ac:dyDescent="0.25">
      <c r="I6" s="7" t="s">
        <v>286</v>
      </c>
    </row>
    <row r="8" spans="1:12" x14ac:dyDescent="0.25">
      <c r="I8" s="7" t="s">
        <v>20</v>
      </c>
    </row>
    <row r="10" spans="1:12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2" t="s">
        <v>5</v>
      </c>
      <c r="G10" s="3" t="s">
        <v>6</v>
      </c>
      <c r="H10" s="3" t="s">
        <v>7</v>
      </c>
      <c r="I10" s="6" t="s">
        <v>8</v>
      </c>
      <c r="J10" s="2" t="s">
        <v>9</v>
      </c>
      <c r="K10" s="3" t="s">
        <v>10</v>
      </c>
      <c r="L10" s="2" t="s">
        <v>9</v>
      </c>
    </row>
    <row r="11" spans="1:12" x14ac:dyDescent="0.25">
      <c r="A11" s="4">
        <v>45779</v>
      </c>
      <c r="B11" t="s">
        <v>11</v>
      </c>
      <c r="C11" t="s">
        <v>12</v>
      </c>
      <c r="D11" t="s">
        <v>13</v>
      </c>
      <c r="E11">
        <v>2018</v>
      </c>
      <c r="F11" s="5">
        <v>41743</v>
      </c>
      <c r="G11" t="s">
        <v>14</v>
      </c>
      <c r="I11" s="7" t="s">
        <v>15</v>
      </c>
      <c r="J11" s="5">
        <v>160000</v>
      </c>
    </row>
    <row r="12" spans="1:12" x14ac:dyDescent="0.25">
      <c r="I12" s="7" t="s">
        <v>16</v>
      </c>
      <c r="J12" s="5">
        <v>270000</v>
      </c>
    </row>
    <row r="13" spans="1:12" x14ac:dyDescent="0.25">
      <c r="I13" s="7" t="s">
        <v>17</v>
      </c>
      <c r="J13" s="5">
        <v>112000</v>
      </c>
    </row>
    <row r="14" spans="1:12" x14ac:dyDescent="0.25">
      <c r="I14" s="7" t="s">
        <v>18</v>
      </c>
      <c r="J14" s="5">
        <v>65000</v>
      </c>
    </row>
    <row r="15" spans="1:12" x14ac:dyDescent="0.25">
      <c r="I15" s="7" t="s">
        <v>19</v>
      </c>
      <c r="J15" s="5">
        <v>130000</v>
      </c>
    </row>
    <row r="17" spans="1:12" x14ac:dyDescent="0.25">
      <c r="I17" s="7" t="s">
        <v>20</v>
      </c>
      <c r="J17" s="5">
        <f>SUM(J11:J16)</f>
        <v>737000</v>
      </c>
    </row>
    <row r="19" spans="1:12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2" t="s">
        <v>5</v>
      </c>
      <c r="G19" s="3" t="s">
        <v>6</v>
      </c>
      <c r="H19" s="3" t="s">
        <v>7</v>
      </c>
      <c r="I19" s="6" t="s">
        <v>8</v>
      </c>
      <c r="J19" s="2" t="s">
        <v>9</v>
      </c>
      <c r="K19" s="3" t="s">
        <v>10</v>
      </c>
      <c r="L19" s="2" t="s">
        <v>9</v>
      </c>
    </row>
    <row r="20" spans="1:12" x14ac:dyDescent="0.25">
      <c r="A20" s="4">
        <v>45779</v>
      </c>
      <c r="B20" t="s">
        <v>21</v>
      </c>
      <c r="C20" t="s">
        <v>22</v>
      </c>
      <c r="D20" t="s">
        <v>23</v>
      </c>
      <c r="F20" s="5">
        <v>85182</v>
      </c>
      <c r="G20" t="s">
        <v>24</v>
      </c>
      <c r="I20" s="7" t="s">
        <v>25</v>
      </c>
      <c r="J20" s="5">
        <v>160000</v>
      </c>
    </row>
    <row r="21" spans="1:12" x14ac:dyDescent="0.25">
      <c r="I21" s="7" t="s">
        <v>26</v>
      </c>
      <c r="J21" s="5">
        <v>80000</v>
      </c>
    </row>
    <row r="23" spans="1:12" x14ac:dyDescent="0.25">
      <c r="I23" s="7" t="s">
        <v>20</v>
      </c>
      <c r="J23" s="5">
        <f>SUM(J20:J22)</f>
        <v>240000</v>
      </c>
    </row>
    <row r="25" spans="1:12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2" t="s">
        <v>5</v>
      </c>
      <c r="G25" s="3" t="s">
        <v>6</v>
      </c>
      <c r="H25" s="3" t="s">
        <v>7</v>
      </c>
      <c r="I25" s="6" t="s">
        <v>8</v>
      </c>
      <c r="J25" s="2" t="s">
        <v>9</v>
      </c>
      <c r="K25" s="3" t="s">
        <v>10</v>
      </c>
      <c r="L25" s="2" t="s">
        <v>9</v>
      </c>
    </row>
    <row r="26" spans="1:12" x14ac:dyDescent="0.25">
      <c r="A26" s="4">
        <v>45779</v>
      </c>
      <c r="B26" t="s">
        <v>27</v>
      </c>
      <c r="C26" t="s">
        <v>28</v>
      </c>
      <c r="D26" t="s">
        <v>29</v>
      </c>
      <c r="F26" s="5">
        <v>11932</v>
      </c>
      <c r="G26" t="s">
        <v>30</v>
      </c>
      <c r="I26" s="7" t="s">
        <v>25</v>
      </c>
      <c r="J26" s="5">
        <v>240000</v>
      </c>
    </row>
    <row r="27" spans="1:12" x14ac:dyDescent="0.25">
      <c r="I27" s="7" t="s">
        <v>26</v>
      </c>
      <c r="J27" s="5">
        <v>120000</v>
      </c>
    </row>
    <row r="28" spans="1:12" x14ac:dyDescent="0.25">
      <c r="I28" s="7" t="s">
        <v>31</v>
      </c>
      <c r="J28" s="5">
        <v>20000</v>
      </c>
    </row>
    <row r="30" spans="1:12" x14ac:dyDescent="0.25">
      <c r="I30" s="7" t="s">
        <v>20</v>
      </c>
      <c r="J30" s="5">
        <f>SUM(J26:J29)</f>
        <v>380000</v>
      </c>
    </row>
    <row r="32" spans="1:12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2" t="s">
        <v>5</v>
      </c>
      <c r="G32" s="3" t="s">
        <v>6</v>
      </c>
      <c r="H32" s="3" t="s">
        <v>7</v>
      </c>
      <c r="I32" s="6" t="s">
        <v>8</v>
      </c>
      <c r="J32" s="2" t="s">
        <v>9</v>
      </c>
      <c r="K32" s="3" t="s">
        <v>10</v>
      </c>
      <c r="L32" s="2" t="s">
        <v>9</v>
      </c>
    </row>
    <row r="33" spans="1:12" x14ac:dyDescent="0.25">
      <c r="A33" s="4">
        <v>45779</v>
      </c>
      <c r="B33" t="s">
        <v>21</v>
      </c>
      <c r="C33" t="s">
        <v>32</v>
      </c>
      <c r="D33" t="s">
        <v>29</v>
      </c>
      <c r="F33" s="5">
        <v>15288</v>
      </c>
      <c r="G33" t="s">
        <v>33</v>
      </c>
      <c r="I33" s="7" t="s">
        <v>34</v>
      </c>
      <c r="J33" s="5">
        <v>300000</v>
      </c>
    </row>
    <row r="34" spans="1:12" x14ac:dyDescent="0.25">
      <c r="I34" s="7" t="s">
        <v>35</v>
      </c>
      <c r="J34" s="5">
        <v>80000</v>
      </c>
    </row>
    <row r="35" spans="1:12" x14ac:dyDescent="0.25">
      <c r="I35" s="7" t="s">
        <v>36</v>
      </c>
      <c r="J35" s="5">
        <v>85000</v>
      </c>
    </row>
    <row r="36" spans="1:12" x14ac:dyDescent="0.25">
      <c r="I36" s="7" t="s">
        <v>37</v>
      </c>
      <c r="J36" s="5">
        <v>50000</v>
      </c>
    </row>
    <row r="37" spans="1:12" x14ac:dyDescent="0.25">
      <c r="I37" s="7" t="s">
        <v>38</v>
      </c>
      <c r="J37" s="5">
        <v>40000</v>
      </c>
    </row>
    <row r="38" spans="1:12" x14ac:dyDescent="0.25">
      <c r="I38" s="7" t="s">
        <v>39</v>
      </c>
      <c r="J38" s="5">
        <v>70000</v>
      </c>
    </row>
    <row r="40" spans="1:12" x14ac:dyDescent="0.25">
      <c r="I40" s="7" t="s">
        <v>20</v>
      </c>
      <c r="J40" s="5">
        <f>SUM(J33:J39)</f>
        <v>625000</v>
      </c>
    </row>
    <row r="42" spans="1:12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2" t="s">
        <v>5</v>
      </c>
      <c r="G42" s="3" t="s">
        <v>6</v>
      </c>
      <c r="H42" s="3" t="s">
        <v>7</v>
      </c>
      <c r="I42" s="6" t="s">
        <v>8</v>
      </c>
      <c r="J42" s="2" t="s">
        <v>9</v>
      </c>
      <c r="K42" s="3" t="s">
        <v>10</v>
      </c>
      <c r="L42" s="2" t="s">
        <v>9</v>
      </c>
    </row>
    <row r="43" spans="1:12" x14ac:dyDescent="0.25">
      <c r="A43" s="4">
        <v>45780</v>
      </c>
      <c r="B43" t="s">
        <v>40</v>
      </c>
      <c r="C43" t="s">
        <v>41</v>
      </c>
      <c r="D43" t="s">
        <v>13</v>
      </c>
      <c r="E43">
        <v>2008</v>
      </c>
      <c r="F43" s="5">
        <v>70192</v>
      </c>
      <c r="G43" t="s">
        <v>42</v>
      </c>
      <c r="H43">
        <v>3202203968</v>
      </c>
      <c r="I43" s="7" t="s">
        <v>43</v>
      </c>
      <c r="J43" s="5">
        <v>60000</v>
      </c>
    </row>
    <row r="44" spans="1:12" x14ac:dyDescent="0.25">
      <c r="I44" s="7" t="s">
        <v>17</v>
      </c>
      <c r="J44" s="5">
        <v>206000</v>
      </c>
    </row>
    <row r="45" spans="1:12" x14ac:dyDescent="0.25">
      <c r="I45" s="7" t="s">
        <v>44</v>
      </c>
      <c r="J45" s="5">
        <v>46000</v>
      </c>
    </row>
    <row r="46" spans="1:12" x14ac:dyDescent="0.25">
      <c r="I46" s="7" t="s">
        <v>45</v>
      </c>
    </row>
    <row r="48" spans="1:12" x14ac:dyDescent="0.25">
      <c r="I48" s="7" t="s">
        <v>20</v>
      </c>
      <c r="J48" s="5">
        <f>SUM(J43:J47)</f>
        <v>312000</v>
      </c>
    </row>
    <row r="50" spans="1:12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2" t="s">
        <v>5</v>
      </c>
      <c r="G50" s="3" t="s">
        <v>6</v>
      </c>
      <c r="H50" s="3" t="s">
        <v>7</v>
      </c>
      <c r="I50" s="6" t="s">
        <v>8</v>
      </c>
      <c r="J50" s="2" t="s">
        <v>9</v>
      </c>
      <c r="K50" s="3" t="s">
        <v>10</v>
      </c>
      <c r="L50" s="2" t="s">
        <v>9</v>
      </c>
    </row>
    <row r="51" spans="1:12" x14ac:dyDescent="0.25">
      <c r="A51" s="4">
        <v>45780</v>
      </c>
      <c r="B51" t="s">
        <v>21</v>
      </c>
      <c r="C51" t="s">
        <v>46</v>
      </c>
      <c r="G51" t="s">
        <v>47</v>
      </c>
      <c r="I51" s="7" t="s">
        <v>48</v>
      </c>
      <c r="J51" s="5">
        <v>120000</v>
      </c>
    </row>
    <row r="52" spans="1:12" x14ac:dyDescent="0.25">
      <c r="I52" s="7" t="s">
        <v>49</v>
      </c>
      <c r="J52" s="5">
        <v>120000</v>
      </c>
    </row>
    <row r="53" spans="1:12" x14ac:dyDescent="0.25">
      <c r="I53" s="7" t="s">
        <v>17</v>
      </c>
      <c r="J53" s="5">
        <v>232000</v>
      </c>
    </row>
    <row r="54" spans="1:12" x14ac:dyDescent="0.25">
      <c r="I54" s="7" t="s">
        <v>18</v>
      </c>
      <c r="J54" s="5">
        <v>46000</v>
      </c>
    </row>
    <row r="55" spans="1:12" x14ac:dyDescent="0.25">
      <c r="I55" s="7" t="s">
        <v>50</v>
      </c>
      <c r="J55" s="5">
        <v>320000</v>
      </c>
    </row>
    <row r="57" spans="1:12" x14ac:dyDescent="0.25">
      <c r="I57" s="7" t="s">
        <v>20</v>
      </c>
      <c r="J57" s="5">
        <f>SUM(J51:J56)</f>
        <v>838000</v>
      </c>
    </row>
    <row r="59" spans="1:12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2" t="s">
        <v>5</v>
      </c>
      <c r="G59" s="3" t="s">
        <v>6</v>
      </c>
      <c r="H59" s="3" t="s">
        <v>7</v>
      </c>
      <c r="I59" s="6" t="s">
        <v>8</v>
      </c>
      <c r="J59" s="2" t="s">
        <v>9</v>
      </c>
      <c r="K59" s="3" t="s">
        <v>10</v>
      </c>
      <c r="L59" s="2" t="s">
        <v>9</v>
      </c>
    </row>
    <row r="60" spans="1:12" x14ac:dyDescent="0.25">
      <c r="A60" s="4">
        <v>45780</v>
      </c>
      <c r="B60" t="s">
        <v>71</v>
      </c>
      <c r="D60" t="s">
        <v>13</v>
      </c>
      <c r="G60" t="s">
        <v>72</v>
      </c>
      <c r="I60" s="7" t="s">
        <v>73</v>
      </c>
    </row>
    <row r="61" spans="1:12" x14ac:dyDescent="0.25">
      <c r="I61" s="7" t="s">
        <v>74</v>
      </c>
    </row>
    <row r="62" spans="1:12" x14ac:dyDescent="0.25">
      <c r="I62" s="7" t="s">
        <v>75</v>
      </c>
    </row>
    <row r="63" spans="1:12" x14ac:dyDescent="0.25">
      <c r="I63" s="7" t="s">
        <v>76</v>
      </c>
    </row>
    <row r="64" spans="1:12" x14ac:dyDescent="0.25">
      <c r="I64" s="7" t="s">
        <v>77</v>
      </c>
    </row>
    <row r="66" spans="1:12" x14ac:dyDescent="0.25">
      <c r="I66" s="7" t="s">
        <v>20</v>
      </c>
    </row>
    <row r="68" spans="1:12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2" t="s">
        <v>5</v>
      </c>
      <c r="G68" s="3" t="s">
        <v>6</v>
      </c>
      <c r="H68" s="3" t="s">
        <v>7</v>
      </c>
      <c r="I68" s="6" t="s">
        <v>8</v>
      </c>
      <c r="J68" s="2" t="s">
        <v>9</v>
      </c>
      <c r="K68" s="3" t="s">
        <v>10</v>
      </c>
      <c r="L68" s="2" t="s">
        <v>9</v>
      </c>
    </row>
    <row r="69" spans="1:12" x14ac:dyDescent="0.25">
      <c r="A69" s="4">
        <v>45783</v>
      </c>
      <c r="B69" t="s">
        <v>51</v>
      </c>
      <c r="C69" t="s">
        <v>52</v>
      </c>
      <c r="D69" t="s">
        <v>53</v>
      </c>
      <c r="G69" t="s">
        <v>54</v>
      </c>
      <c r="I69" s="7" t="s">
        <v>55</v>
      </c>
      <c r="J69" s="5">
        <v>1200000</v>
      </c>
    </row>
    <row r="70" spans="1:12" x14ac:dyDescent="0.25">
      <c r="I70" s="7" t="s">
        <v>56</v>
      </c>
      <c r="J70" s="5">
        <v>150000</v>
      </c>
    </row>
    <row r="71" spans="1:12" x14ac:dyDescent="0.25">
      <c r="I71" s="7" t="s">
        <v>57</v>
      </c>
      <c r="J71" s="5">
        <v>95000</v>
      </c>
    </row>
    <row r="72" spans="1:12" x14ac:dyDescent="0.25">
      <c r="I72" s="7" t="s">
        <v>58</v>
      </c>
      <c r="J72" s="5">
        <v>450000</v>
      </c>
    </row>
    <row r="73" spans="1:12" x14ac:dyDescent="0.25">
      <c r="I73" s="7" t="s">
        <v>59</v>
      </c>
      <c r="J73" s="5">
        <v>150000</v>
      </c>
    </row>
    <row r="74" spans="1:12" x14ac:dyDescent="0.25">
      <c r="I74" s="7" t="s">
        <v>60</v>
      </c>
      <c r="J74" s="5">
        <v>100000</v>
      </c>
    </row>
    <row r="75" spans="1:12" x14ac:dyDescent="0.25">
      <c r="I75" s="7" t="s">
        <v>61</v>
      </c>
      <c r="J75" s="5">
        <v>150000</v>
      </c>
    </row>
    <row r="76" spans="1:12" x14ac:dyDescent="0.25">
      <c r="I76" s="7" t="s">
        <v>62</v>
      </c>
      <c r="J76" s="5">
        <v>50000</v>
      </c>
    </row>
    <row r="77" spans="1:12" x14ac:dyDescent="0.25">
      <c r="I77" s="7" t="s">
        <v>16</v>
      </c>
      <c r="J77" s="5">
        <v>420000</v>
      </c>
    </row>
    <row r="78" spans="1:12" x14ac:dyDescent="0.25">
      <c r="I78" s="7" t="s">
        <v>63</v>
      </c>
    </row>
    <row r="79" spans="1:12" x14ac:dyDescent="0.25">
      <c r="I79" s="7" t="s">
        <v>64</v>
      </c>
      <c r="J79" s="5">
        <v>40000</v>
      </c>
    </row>
    <row r="80" spans="1:12" x14ac:dyDescent="0.25">
      <c r="I80" s="7" t="s">
        <v>65</v>
      </c>
      <c r="J80" s="5">
        <v>25000</v>
      </c>
    </row>
    <row r="81" spans="1:12" x14ac:dyDescent="0.25">
      <c r="I81" s="7" t="s">
        <v>66</v>
      </c>
    </row>
    <row r="82" spans="1:12" x14ac:dyDescent="0.25">
      <c r="I82" s="7" t="s">
        <v>67</v>
      </c>
      <c r="J82" s="5">
        <v>40000</v>
      </c>
    </row>
    <row r="83" spans="1:12" x14ac:dyDescent="0.25">
      <c r="I83" s="7" t="s">
        <v>68</v>
      </c>
      <c r="J83" s="5">
        <v>25000</v>
      </c>
    </row>
    <row r="84" spans="1:12" x14ac:dyDescent="0.25">
      <c r="I84" s="7" t="s">
        <v>69</v>
      </c>
      <c r="J84" s="5">
        <v>30000</v>
      </c>
    </row>
    <row r="85" spans="1:12" x14ac:dyDescent="0.25">
      <c r="I85" s="7" t="s">
        <v>70</v>
      </c>
      <c r="J85" s="5">
        <v>192000</v>
      </c>
    </row>
    <row r="86" spans="1:12" x14ac:dyDescent="0.25">
      <c r="I86" s="7" t="s">
        <v>18</v>
      </c>
      <c r="J86" s="5">
        <v>64000</v>
      </c>
    </row>
    <row r="88" spans="1:12" x14ac:dyDescent="0.25">
      <c r="I88" s="7" t="s">
        <v>20</v>
      </c>
      <c r="J88" s="5">
        <f>SUM(J69:J87)</f>
        <v>3181000</v>
      </c>
    </row>
    <row r="90" spans="1:12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2" t="s">
        <v>5</v>
      </c>
      <c r="G90" s="3" t="s">
        <v>6</v>
      </c>
      <c r="H90" s="3" t="s">
        <v>7</v>
      </c>
      <c r="I90" s="6" t="s">
        <v>8</v>
      </c>
      <c r="J90" s="2" t="s">
        <v>9</v>
      </c>
      <c r="K90" s="3" t="s">
        <v>10</v>
      </c>
      <c r="L90" s="2" t="s">
        <v>9</v>
      </c>
    </row>
    <row r="91" spans="1:12" x14ac:dyDescent="0.25">
      <c r="A91" s="4">
        <v>45783</v>
      </c>
      <c r="B91" t="s">
        <v>78</v>
      </c>
      <c r="C91" t="s">
        <v>79</v>
      </c>
      <c r="D91" t="s">
        <v>53</v>
      </c>
      <c r="F91" s="5">
        <v>24412</v>
      </c>
      <c r="G91" t="s">
        <v>80</v>
      </c>
      <c r="H91">
        <v>3103485545</v>
      </c>
      <c r="I91" s="7" t="s">
        <v>16</v>
      </c>
      <c r="J91" s="5">
        <v>220000</v>
      </c>
    </row>
    <row r="92" spans="1:12" x14ac:dyDescent="0.25">
      <c r="I92" s="7" t="s">
        <v>17</v>
      </c>
      <c r="J92" s="5">
        <v>40000</v>
      </c>
    </row>
    <row r="93" spans="1:12" x14ac:dyDescent="0.25">
      <c r="I93" s="7" t="s">
        <v>81</v>
      </c>
      <c r="J93" s="5">
        <v>75000</v>
      </c>
    </row>
    <row r="94" spans="1:12" x14ac:dyDescent="0.25">
      <c r="I94" s="7" t="s">
        <v>77</v>
      </c>
      <c r="J94" s="5">
        <v>22000</v>
      </c>
    </row>
    <row r="96" spans="1:12" x14ac:dyDescent="0.25">
      <c r="I96" s="7" t="s">
        <v>20</v>
      </c>
      <c r="J96" s="5">
        <f>SUM(J91:J95)</f>
        <v>357000</v>
      </c>
    </row>
    <row r="98" spans="1:12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2" t="s">
        <v>5</v>
      </c>
      <c r="G98" s="3" t="s">
        <v>6</v>
      </c>
      <c r="H98" s="3" t="s">
        <v>7</v>
      </c>
      <c r="I98" s="6" t="s">
        <v>8</v>
      </c>
      <c r="J98" s="2" t="s">
        <v>9</v>
      </c>
      <c r="K98" s="3" t="s">
        <v>10</v>
      </c>
      <c r="L98" s="2" t="s">
        <v>9</v>
      </c>
    </row>
    <row r="99" spans="1:12" x14ac:dyDescent="0.25">
      <c r="A99" s="4">
        <v>45783</v>
      </c>
      <c r="B99" t="s">
        <v>82</v>
      </c>
      <c r="C99" t="s">
        <v>83</v>
      </c>
      <c r="D99" t="s">
        <v>84</v>
      </c>
      <c r="F99" s="5">
        <v>21721</v>
      </c>
      <c r="G99" t="s">
        <v>85</v>
      </c>
      <c r="H99">
        <v>3107624630</v>
      </c>
      <c r="I99" s="7" t="s">
        <v>16</v>
      </c>
      <c r="J99" s="5">
        <v>270000</v>
      </c>
    </row>
    <row r="100" spans="1:12" x14ac:dyDescent="0.25">
      <c r="I100" s="7" t="s">
        <v>86</v>
      </c>
      <c r="J100" s="5">
        <v>250000</v>
      </c>
    </row>
    <row r="101" spans="1:12" x14ac:dyDescent="0.25">
      <c r="I101" s="7" t="s">
        <v>87</v>
      </c>
      <c r="J101" s="5">
        <v>10000</v>
      </c>
    </row>
    <row r="102" spans="1:12" x14ac:dyDescent="0.25">
      <c r="I102" s="7" t="s">
        <v>77</v>
      </c>
      <c r="J102" s="5">
        <v>22000</v>
      </c>
    </row>
    <row r="103" spans="1:12" x14ac:dyDescent="0.25">
      <c r="I103" s="7" t="s">
        <v>88</v>
      </c>
    </row>
    <row r="104" spans="1:12" x14ac:dyDescent="0.25">
      <c r="I104" s="7" t="s">
        <v>48</v>
      </c>
    </row>
    <row r="106" spans="1:12" x14ac:dyDescent="0.25">
      <c r="I106" s="7" t="s">
        <v>20</v>
      </c>
      <c r="J106" s="5">
        <f>SUM(J99:J105)</f>
        <v>552000</v>
      </c>
    </row>
    <row r="108" spans="1:12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2" t="s">
        <v>5</v>
      </c>
      <c r="G108" s="3" t="s">
        <v>6</v>
      </c>
      <c r="H108" s="3" t="s">
        <v>7</v>
      </c>
      <c r="I108" s="6" t="s">
        <v>8</v>
      </c>
      <c r="J108" s="2" t="s">
        <v>9</v>
      </c>
      <c r="K108" s="3" t="s">
        <v>10</v>
      </c>
      <c r="L108" s="2" t="s">
        <v>9</v>
      </c>
    </row>
    <row r="109" spans="1:12" x14ac:dyDescent="0.25">
      <c r="A109" s="4">
        <v>45783</v>
      </c>
      <c r="B109" t="s">
        <v>89</v>
      </c>
      <c r="C109" t="s">
        <v>90</v>
      </c>
      <c r="D109" t="s">
        <v>23</v>
      </c>
      <c r="F109" s="5">
        <v>87041</v>
      </c>
      <c r="G109" t="s">
        <v>91</v>
      </c>
      <c r="I109" s="7" t="s">
        <v>92</v>
      </c>
      <c r="J109" s="5">
        <v>450000</v>
      </c>
    </row>
    <row r="110" spans="1:12" x14ac:dyDescent="0.25">
      <c r="I110" s="7" t="s">
        <v>93</v>
      </c>
      <c r="J110" s="5">
        <v>1200000</v>
      </c>
    </row>
    <row r="111" spans="1:12" x14ac:dyDescent="0.25">
      <c r="I111" s="7" t="s">
        <v>70</v>
      </c>
      <c r="J111" s="5">
        <v>256000</v>
      </c>
    </row>
    <row r="112" spans="1:12" x14ac:dyDescent="0.25">
      <c r="I112" s="7" t="s">
        <v>18</v>
      </c>
      <c r="J112" s="5">
        <v>64000</v>
      </c>
    </row>
    <row r="113" spans="1:12" x14ac:dyDescent="0.25">
      <c r="I113" s="7" t="s">
        <v>77</v>
      </c>
      <c r="J113" s="5">
        <v>22000</v>
      </c>
    </row>
    <row r="115" spans="1:12" x14ac:dyDescent="0.25">
      <c r="I115" s="7" t="s">
        <v>20</v>
      </c>
      <c r="J115" s="5">
        <f>SUM(J109:J114)</f>
        <v>1992000</v>
      </c>
    </row>
    <row r="117" spans="1:12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2" t="s">
        <v>5</v>
      </c>
      <c r="G117" s="3" t="s">
        <v>6</v>
      </c>
      <c r="H117" s="3" t="s">
        <v>7</v>
      </c>
      <c r="I117" s="6" t="s">
        <v>8</v>
      </c>
      <c r="J117" s="2" t="s">
        <v>9</v>
      </c>
      <c r="K117" s="3" t="s">
        <v>10</v>
      </c>
      <c r="L117" s="2" t="s">
        <v>9</v>
      </c>
    </row>
    <row r="118" spans="1:12" x14ac:dyDescent="0.25">
      <c r="A118" s="4">
        <v>45783</v>
      </c>
      <c r="B118" t="s">
        <v>94</v>
      </c>
      <c r="C118" t="s">
        <v>95</v>
      </c>
      <c r="D118" t="s">
        <v>23</v>
      </c>
      <c r="F118" s="5">
        <v>50330</v>
      </c>
      <c r="I118" s="7" t="s">
        <v>17</v>
      </c>
    </row>
    <row r="119" spans="1:12" x14ac:dyDescent="0.25">
      <c r="I119" s="7" t="s">
        <v>96</v>
      </c>
    </row>
    <row r="120" spans="1:12" x14ac:dyDescent="0.25">
      <c r="I120" s="7" t="s">
        <v>97</v>
      </c>
    </row>
    <row r="122" spans="1:12" x14ac:dyDescent="0.25">
      <c r="I122" s="7" t="s">
        <v>20</v>
      </c>
      <c r="J122" s="5">
        <v>34000</v>
      </c>
    </row>
    <row r="124" spans="1:12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2" t="s">
        <v>5</v>
      </c>
      <c r="G124" s="3" t="s">
        <v>6</v>
      </c>
      <c r="H124" s="3" t="s">
        <v>7</v>
      </c>
      <c r="I124" s="6" t="s">
        <v>8</v>
      </c>
      <c r="J124" s="2" t="s">
        <v>9</v>
      </c>
      <c r="K124" s="3" t="s">
        <v>10</v>
      </c>
      <c r="L124" s="2" t="s">
        <v>9</v>
      </c>
    </row>
    <row r="125" spans="1:12" x14ac:dyDescent="0.25">
      <c r="A125" s="4">
        <v>45783</v>
      </c>
      <c r="B125" t="s">
        <v>98</v>
      </c>
      <c r="C125" t="s">
        <v>99</v>
      </c>
      <c r="D125" t="s">
        <v>29</v>
      </c>
      <c r="F125" s="5">
        <v>81154</v>
      </c>
      <c r="I125" s="7" t="s">
        <v>17</v>
      </c>
      <c r="J125" s="5">
        <v>46000</v>
      </c>
    </row>
    <row r="126" spans="1:12" x14ac:dyDescent="0.25">
      <c r="I126" s="7" t="s">
        <v>18</v>
      </c>
      <c r="J126" s="5">
        <v>18000</v>
      </c>
    </row>
    <row r="127" spans="1:12" x14ac:dyDescent="0.25">
      <c r="I127" s="7" t="s">
        <v>100</v>
      </c>
      <c r="J127" s="5">
        <v>15000</v>
      </c>
    </row>
    <row r="128" spans="1:12" x14ac:dyDescent="0.25">
      <c r="I128" s="7" t="s">
        <v>25</v>
      </c>
      <c r="J128" s="5">
        <v>40000</v>
      </c>
    </row>
    <row r="129" spans="1:12" x14ac:dyDescent="0.25">
      <c r="I129" s="7" t="s">
        <v>101</v>
      </c>
      <c r="J129" s="5">
        <v>6000</v>
      </c>
    </row>
    <row r="131" spans="1:12" x14ac:dyDescent="0.25">
      <c r="I131" s="7" t="s">
        <v>20</v>
      </c>
      <c r="J131" s="5">
        <f>SUM(J125:J130)</f>
        <v>125000</v>
      </c>
    </row>
    <row r="133" spans="1:12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2" t="s">
        <v>5</v>
      </c>
      <c r="G133" s="3" t="s">
        <v>6</v>
      </c>
      <c r="H133" s="3" t="s">
        <v>7</v>
      </c>
      <c r="I133" s="6" t="s">
        <v>8</v>
      </c>
      <c r="J133" s="2" t="s">
        <v>9</v>
      </c>
      <c r="K133" s="3" t="s">
        <v>10</v>
      </c>
      <c r="L133" s="2" t="s">
        <v>9</v>
      </c>
    </row>
    <row r="134" spans="1:12" x14ac:dyDescent="0.25">
      <c r="A134" s="4">
        <v>45783</v>
      </c>
      <c r="B134" t="s">
        <v>102</v>
      </c>
      <c r="C134" t="s">
        <v>103</v>
      </c>
      <c r="D134" t="s">
        <v>13</v>
      </c>
      <c r="F134" s="5">
        <v>103718</v>
      </c>
      <c r="G134" t="s">
        <v>104</v>
      </c>
      <c r="I134" s="7" t="s">
        <v>55</v>
      </c>
      <c r="J134" s="5">
        <v>700000</v>
      </c>
    </row>
    <row r="135" spans="1:12" x14ac:dyDescent="0.25">
      <c r="I135" s="7" t="s">
        <v>77</v>
      </c>
      <c r="J135" s="5">
        <v>22000</v>
      </c>
    </row>
    <row r="136" spans="1:12" x14ac:dyDescent="0.25">
      <c r="I136" s="7" t="s">
        <v>105</v>
      </c>
      <c r="J136" s="5">
        <v>60000</v>
      </c>
    </row>
    <row r="138" spans="1:12" x14ac:dyDescent="0.25">
      <c r="I138" s="7" t="s">
        <v>20</v>
      </c>
      <c r="J138" s="5">
        <f>SUM(J134:J137)</f>
        <v>782000</v>
      </c>
    </row>
    <row r="140" spans="1:12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2" t="s">
        <v>5</v>
      </c>
      <c r="G140" s="3" t="s">
        <v>6</v>
      </c>
      <c r="H140" s="3" t="s">
        <v>7</v>
      </c>
      <c r="I140" s="6" t="s">
        <v>8</v>
      </c>
      <c r="J140" s="2" t="s">
        <v>9</v>
      </c>
      <c r="K140" s="3" t="s">
        <v>10</v>
      </c>
      <c r="L140" s="2" t="s">
        <v>9</v>
      </c>
    </row>
    <row r="141" spans="1:12" x14ac:dyDescent="0.25">
      <c r="A141" s="4">
        <v>45783</v>
      </c>
      <c r="B141" t="s">
        <v>21</v>
      </c>
      <c r="C141" t="s">
        <v>106</v>
      </c>
      <c r="D141" t="s">
        <v>29</v>
      </c>
      <c r="F141" s="5">
        <v>85827</v>
      </c>
      <c r="G141" t="s">
        <v>107</v>
      </c>
      <c r="I141" s="7" t="s">
        <v>108</v>
      </c>
      <c r="J141" s="5">
        <v>150000</v>
      </c>
    </row>
    <row r="142" spans="1:12" x14ac:dyDescent="0.25">
      <c r="I142" s="7" t="s">
        <v>109</v>
      </c>
      <c r="J142" s="5">
        <v>32000</v>
      </c>
    </row>
    <row r="144" spans="1:12" x14ac:dyDescent="0.25">
      <c r="I144" s="7" t="s">
        <v>20</v>
      </c>
      <c r="J144" s="5">
        <f>SUM(J141:J143)</f>
        <v>182000</v>
      </c>
    </row>
    <row r="146" spans="1:12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2" t="s">
        <v>5</v>
      </c>
      <c r="G146" s="3" t="s">
        <v>6</v>
      </c>
      <c r="H146" s="3" t="s">
        <v>7</v>
      </c>
      <c r="I146" s="6" t="s">
        <v>8</v>
      </c>
      <c r="J146" s="2" t="s">
        <v>9</v>
      </c>
      <c r="K146" s="3" t="s">
        <v>10</v>
      </c>
      <c r="L146" s="2" t="s">
        <v>9</v>
      </c>
    </row>
    <row r="147" spans="1:12" x14ac:dyDescent="0.25">
      <c r="A147" s="4">
        <v>45783</v>
      </c>
      <c r="B147" t="s">
        <v>110</v>
      </c>
      <c r="C147" t="s">
        <v>111</v>
      </c>
      <c r="D147" t="s">
        <v>29</v>
      </c>
      <c r="F147" s="5">
        <v>44628</v>
      </c>
      <c r="I147" s="7" t="s">
        <v>17</v>
      </c>
      <c r="J147" s="5">
        <v>36000</v>
      </c>
    </row>
    <row r="148" spans="1:12" x14ac:dyDescent="0.25">
      <c r="I148" s="7" t="s">
        <v>112</v>
      </c>
      <c r="J148" s="5">
        <v>6000</v>
      </c>
    </row>
    <row r="150" spans="1:12" x14ac:dyDescent="0.25">
      <c r="I150" s="7" t="s">
        <v>20</v>
      </c>
      <c r="J150" s="5">
        <f>SUM(J147:J149)</f>
        <v>42000</v>
      </c>
    </row>
    <row r="152" spans="1:12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2" t="s">
        <v>5</v>
      </c>
      <c r="G152" s="3" t="s">
        <v>6</v>
      </c>
      <c r="H152" s="3" t="s">
        <v>7</v>
      </c>
      <c r="I152" s="6" t="s">
        <v>8</v>
      </c>
      <c r="J152" s="2" t="s">
        <v>9</v>
      </c>
      <c r="K152" s="3" t="s">
        <v>10</v>
      </c>
      <c r="L152" s="2" t="s">
        <v>9</v>
      </c>
    </row>
    <row r="153" spans="1:12" x14ac:dyDescent="0.25">
      <c r="A153" s="4">
        <v>45783</v>
      </c>
      <c r="B153" t="s">
        <v>113</v>
      </c>
      <c r="C153" t="s">
        <v>118</v>
      </c>
      <c r="D153" t="s">
        <v>53</v>
      </c>
      <c r="E153">
        <v>2020</v>
      </c>
      <c r="F153" s="5">
        <v>52000</v>
      </c>
      <c r="G153" t="s">
        <v>117</v>
      </c>
      <c r="H153">
        <v>3166270799</v>
      </c>
      <c r="I153" s="7" t="s">
        <v>77</v>
      </c>
      <c r="J153" s="5">
        <v>22000</v>
      </c>
    </row>
    <row r="154" spans="1:12" x14ac:dyDescent="0.25">
      <c r="I154" s="7" t="s">
        <v>114</v>
      </c>
      <c r="J154" s="5">
        <v>10000</v>
      </c>
    </row>
    <row r="155" spans="1:12" x14ac:dyDescent="0.25">
      <c r="I155" s="7" t="s">
        <v>115</v>
      </c>
      <c r="J155" s="5">
        <v>40000</v>
      </c>
    </row>
    <row r="156" spans="1:12" x14ac:dyDescent="0.25">
      <c r="I156" s="7" t="s">
        <v>116</v>
      </c>
      <c r="J156" s="5">
        <v>20000</v>
      </c>
    </row>
    <row r="158" spans="1:12" x14ac:dyDescent="0.25">
      <c r="I158" s="7" t="s">
        <v>20</v>
      </c>
      <c r="J158" s="5">
        <f>SUM(J153:J157)</f>
        <v>92000</v>
      </c>
    </row>
    <row r="160" spans="1:12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2" t="s">
        <v>5</v>
      </c>
      <c r="G160" s="3" t="s">
        <v>6</v>
      </c>
      <c r="H160" s="3" t="s">
        <v>7</v>
      </c>
      <c r="I160" s="6" t="s">
        <v>8</v>
      </c>
      <c r="J160" s="2" t="s">
        <v>9</v>
      </c>
      <c r="K160" s="3" t="s">
        <v>10</v>
      </c>
      <c r="L160" s="2" t="s">
        <v>9</v>
      </c>
    </row>
    <row r="161" spans="1:12" x14ac:dyDescent="0.25">
      <c r="A161" s="4">
        <v>45785</v>
      </c>
      <c r="B161" t="s">
        <v>871</v>
      </c>
      <c r="C161" t="s">
        <v>719</v>
      </c>
      <c r="D161" t="s">
        <v>29</v>
      </c>
      <c r="G161" t="s">
        <v>872</v>
      </c>
      <c r="H161">
        <v>3174234344</v>
      </c>
      <c r="I161" s="7" t="s">
        <v>873</v>
      </c>
    </row>
    <row r="163" spans="1:12" x14ac:dyDescent="0.25">
      <c r="I163" s="7" t="s">
        <v>20</v>
      </c>
    </row>
    <row r="165" spans="1:12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2" t="s">
        <v>5</v>
      </c>
      <c r="G165" s="3" t="s">
        <v>6</v>
      </c>
      <c r="H165" s="3" t="s">
        <v>7</v>
      </c>
      <c r="I165" s="6" t="s">
        <v>8</v>
      </c>
      <c r="J165" s="2" t="s">
        <v>9</v>
      </c>
      <c r="K165" s="3" t="s">
        <v>10</v>
      </c>
      <c r="L165" s="2" t="s">
        <v>9</v>
      </c>
    </row>
    <row r="166" spans="1:12" x14ac:dyDescent="0.25">
      <c r="A166" s="4">
        <v>45787</v>
      </c>
      <c r="B166" t="s">
        <v>119</v>
      </c>
      <c r="C166" t="s">
        <v>120</v>
      </c>
      <c r="D166" t="s">
        <v>29</v>
      </c>
      <c r="F166" s="5">
        <v>167432</v>
      </c>
      <c r="G166" t="s">
        <v>121</v>
      </c>
      <c r="H166">
        <v>3102521822</v>
      </c>
      <c r="I166" s="7" t="s">
        <v>122</v>
      </c>
      <c r="J166" s="5">
        <v>280000</v>
      </c>
    </row>
    <row r="167" spans="1:12" x14ac:dyDescent="0.25">
      <c r="I167" s="7" t="s">
        <v>123</v>
      </c>
      <c r="J167" s="5">
        <v>40000</v>
      </c>
    </row>
    <row r="168" spans="1:12" x14ac:dyDescent="0.25">
      <c r="I168" s="7" t="s">
        <v>124</v>
      </c>
      <c r="J168" s="5">
        <v>40000</v>
      </c>
    </row>
    <row r="169" spans="1:12" x14ac:dyDescent="0.25">
      <c r="I169" s="7" t="s">
        <v>16</v>
      </c>
      <c r="J169" s="5">
        <v>150000</v>
      </c>
    </row>
    <row r="170" spans="1:12" x14ac:dyDescent="0.25">
      <c r="I170" s="7" t="s">
        <v>125</v>
      </c>
      <c r="J170" s="5">
        <v>80000</v>
      </c>
    </row>
    <row r="171" spans="1:12" x14ac:dyDescent="0.25">
      <c r="I171" s="7" t="s">
        <v>126</v>
      </c>
      <c r="J171" s="5">
        <v>125000</v>
      </c>
    </row>
    <row r="172" spans="1:12" x14ac:dyDescent="0.25">
      <c r="I172" s="7" t="s">
        <v>127</v>
      </c>
      <c r="J172" s="5">
        <v>80000</v>
      </c>
    </row>
    <row r="173" spans="1:12" x14ac:dyDescent="0.25">
      <c r="I173" s="7" t="s">
        <v>128</v>
      </c>
      <c r="J173" s="5">
        <v>30000</v>
      </c>
    </row>
    <row r="174" spans="1:12" x14ac:dyDescent="0.25">
      <c r="I174" s="7" t="s">
        <v>77</v>
      </c>
      <c r="J174" s="5">
        <v>22000</v>
      </c>
    </row>
    <row r="176" spans="1:12" x14ac:dyDescent="0.25">
      <c r="I176" s="7" t="s">
        <v>20</v>
      </c>
      <c r="J176" s="5">
        <f>SUM(J166:J175)</f>
        <v>847000</v>
      </c>
    </row>
    <row r="178" spans="1:12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2" t="s">
        <v>5</v>
      </c>
      <c r="G178" s="3" t="s">
        <v>6</v>
      </c>
      <c r="H178" s="3" t="s">
        <v>7</v>
      </c>
      <c r="I178" s="6" t="s">
        <v>8</v>
      </c>
      <c r="J178" s="2" t="s">
        <v>9</v>
      </c>
      <c r="K178" s="3" t="s">
        <v>10</v>
      </c>
      <c r="L178" s="2" t="s">
        <v>9</v>
      </c>
    </row>
    <row r="179" spans="1:12" x14ac:dyDescent="0.25">
      <c r="A179" s="4">
        <v>45787</v>
      </c>
      <c r="B179" t="s">
        <v>21</v>
      </c>
      <c r="C179" t="s">
        <v>129</v>
      </c>
      <c r="D179" t="s">
        <v>29</v>
      </c>
      <c r="F179" s="5">
        <v>40066</v>
      </c>
      <c r="G179" t="s">
        <v>138</v>
      </c>
      <c r="I179" s="7" t="s">
        <v>130</v>
      </c>
      <c r="J179" s="5">
        <v>390000</v>
      </c>
    </row>
    <row r="180" spans="1:12" x14ac:dyDescent="0.25">
      <c r="G180" t="s">
        <v>139</v>
      </c>
      <c r="I180" s="7" t="s">
        <v>131</v>
      </c>
      <c r="J180" s="5">
        <v>40000</v>
      </c>
    </row>
    <row r="181" spans="1:12" x14ac:dyDescent="0.25">
      <c r="I181" s="7" t="s">
        <v>132</v>
      </c>
      <c r="J181" s="5">
        <v>192000</v>
      </c>
    </row>
    <row r="182" spans="1:12" x14ac:dyDescent="0.25">
      <c r="I182" s="7" t="s">
        <v>18</v>
      </c>
      <c r="J182" s="5">
        <v>46000</v>
      </c>
    </row>
    <row r="183" spans="1:12" x14ac:dyDescent="0.25">
      <c r="I183" s="7" t="s">
        <v>133</v>
      </c>
      <c r="J183" s="5">
        <v>150000</v>
      </c>
    </row>
    <row r="184" spans="1:12" x14ac:dyDescent="0.25">
      <c r="I184" s="7" t="s">
        <v>77</v>
      </c>
      <c r="J184" s="5">
        <v>22000</v>
      </c>
    </row>
    <row r="185" spans="1:12" x14ac:dyDescent="0.25">
      <c r="I185" s="7" t="s">
        <v>134</v>
      </c>
      <c r="J185" s="5">
        <v>120000</v>
      </c>
    </row>
    <row r="186" spans="1:12" x14ac:dyDescent="0.25">
      <c r="I186" s="7" t="s">
        <v>135</v>
      </c>
      <c r="J186" s="5">
        <v>30000</v>
      </c>
    </row>
    <row r="187" spans="1:12" x14ac:dyDescent="0.25">
      <c r="I187" s="7" t="s">
        <v>48</v>
      </c>
      <c r="J187" s="5">
        <v>120000</v>
      </c>
    </row>
    <row r="188" spans="1:12" x14ac:dyDescent="0.25">
      <c r="I188" s="7" t="s">
        <v>126</v>
      </c>
      <c r="J188" s="5">
        <v>420000</v>
      </c>
    </row>
    <row r="189" spans="1:12" x14ac:dyDescent="0.25">
      <c r="I189" s="7" t="s">
        <v>136</v>
      </c>
      <c r="J189" s="5">
        <v>40000</v>
      </c>
    </row>
    <row r="190" spans="1:12" x14ac:dyDescent="0.25">
      <c r="I190" s="7" t="s">
        <v>108</v>
      </c>
      <c r="J190" s="5">
        <v>150000</v>
      </c>
    </row>
    <row r="191" spans="1:12" x14ac:dyDescent="0.25">
      <c r="I191" s="7" t="s">
        <v>137</v>
      </c>
      <c r="J191" s="5">
        <v>315000</v>
      </c>
    </row>
    <row r="193" spans="1:12" x14ac:dyDescent="0.25">
      <c r="I193" s="7" t="s">
        <v>20</v>
      </c>
      <c r="J193" s="5">
        <f>SUM(J179:J192)</f>
        <v>2035000</v>
      </c>
    </row>
    <row r="195" spans="1:12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2" t="s">
        <v>5</v>
      </c>
      <c r="G195" s="3" t="s">
        <v>6</v>
      </c>
      <c r="H195" s="3" t="s">
        <v>7</v>
      </c>
      <c r="I195" s="6" t="s">
        <v>8</v>
      </c>
      <c r="J195" s="2" t="s">
        <v>9</v>
      </c>
      <c r="K195" s="3" t="s">
        <v>10</v>
      </c>
      <c r="L195" s="2" t="s">
        <v>9</v>
      </c>
    </row>
    <row r="196" spans="1:12" x14ac:dyDescent="0.25">
      <c r="A196" s="4">
        <v>45787</v>
      </c>
      <c r="B196" t="s">
        <v>21</v>
      </c>
      <c r="C196" t="s">
        <v>140</v>
      </c>
      <c r="D196" t="s">
        <v>29</v>
      </c>
      <c r="F196" s="5">
        <v>47063</v>
      </c>
      <c r="G196" t="s">
        <v>139</v>
      </c>
      <c r="I196" s="7" t="s">
        <v>16</v>
      </c>
      <c r="J196" s="5">
        <v>390000</v>
      </c>
    </row>
    <row r="197" spans="1:12" x14ac:dyDescent="0.25">
      <c r="G197" t="s">
        <v>138</v>
      </c>
      <c r="I197" s="7" t="s">
        <v>141</v>
      </c>
      <c r="J197" s="5">
        <v>120000</v>
      </c>
    </row>
    <row r="198" spans="1:12" x14ac:dyDescent="0.25">
      <c r="I198" s="7" t="s">
        <v>142</v>
      </c>
      <c r="J198" s="5">
        <v>240000</v>
      </c>
    </row>
    <row r="199" spans="1:12" x14ac:dyDescent="0.25">
      <c r="I199" s="7" t="s">
        <v>132</v>
      </c>
      <c r="J199" s="5">
        <v>192000</v>
      </c>
    </row>
    <row r="200" spans="1:12" x14ac:dyDescent="0.25">
      <c r="I200" s="7" t="s">
        <v>18</v>
      </c>
      <c r="J200" s="5">
        <v>46000</v>
      </c>
    </row>
    <row r="201" spans="1:12" x14ac:dyDescent="0.25">
      <c r="I201" s="7" t="s">
        <v>133</v>
      </c>
      <c r="J201" s="5">
        <v>150000</v>
      </c>
    </row>
    <row r="202" spans="1:12" x14ac:dyDescent="0.25">
      <c r="I202" s="7" t="s">
        <v>108</v>
      </c>
      <c r="J202" s="5">
        <v>150000</v>
      </c>
    </row>
    <row r="203" spans="1:12" x14ac:dyDescent="0.25">
      <c r="I203" s="7" t="s">
        <v>48</v>
      </c>
      <c r="J203" s="5">
        <v>120000</v>
      </c>
    </row>
    <row r="204" spans="1:12" x14ac:dyDescent="0.25">
      <c r="I204" s="7" t="s">
        <v>131</v>
      </c>
      <c r="J204" s="5">
        <v>40000</v>
      </c>
    </row>
    <row r="205" spans="1:12" x14ac:dyDescent="0.25">
      <c r="I205" s="7" t="s">
        <v>77</v>
      </c>
      <c r="J205" s="5">
        <v>22000</v>
      </c>
    </row>
    <row r="206" spans="1:12" x14ac:dyDescent="0.25">
      <c r="I206" s="7" t="s">
        <v>126</v>
      </c>
      <c r="J206" s="5">
        <v>420000</v>
      </c>
    </row>
    <row r="207" spans="1:12" x14ac:dyDescent="0.25">
      <c r="I207" s="7" t="s">
        <v>143</v>
      </c>
      <c r="J207" s="5">
        <v>40000</v>
      </c>
    </row>
    <row r="209" spans="1:12" x14ac:dyDescent="0.25">
      <c r="I209" s="7" t="s">
        <v>20</v>
      </c>
      <c r="J209" s="5">
        <f>SUM(J196:J208)</f>
        <v>1930000</v>
      </c>
    </row>
    <row r="211" spans="1:12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2" t="s">
        <v>5</v>
      </c>
      <c r="G211" s="3" t="s">
        <v>6</v>
      </c>
      <c r="H211" s="3" t="s">
        <v>7</v>
      </c>
      <c r="I211" s="6" t="s">
        <v>8</v>
      </c>
      <c r="J211" s="2" t="s">
        <v>9</v>
      </c>
      <c r="K211" s="3" t="s">
        <v>10</v>
      </c>
      <c r="L211" s="2" t="s">
        <v>9</v>
      </c>
    </row>
    <row r="212" spans="1:12" x14ac:dyDescent="0.25">
      <c r="A212" s="4">
        <v>45787</v>
      </c>
      <c r="B212" t="s">
        <v>144</v>
      </c>
      <c r="C212" t="s">
        <v>145</v>
      </c>
      <c r="D212" t="s">
        <v>53</v>
      </c>
      <c r="F212" s="5">
        <v>72257</v>
      </c>
      <c r="I212" s="7" t="s">
        <v>146</v>
      </c>
    </row>
    <row r="214" spans="1:12" x14ac:dyDescent="0.25">
      <c r="I214" s="7" t="s">
        <v>20</v>
      </c>
      <c r="J214" s="5">
        <v>35000</v>
      </c>
    </row>
    <row r="216" spans="1:12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2" t="s">
        <v>5</v>
      </c>
      <c r="G216" s="3" t="s">
        <v>6</v>
      </c>
      <c r="H216" s="3" t="s">
        <v>7</v>
      </c>
      <c r="I216" s="6" t="s">
        <v>8</v>
      </c>
      <c r="J216" s="2" t="s">
        <v>9</v>
      </c>
      <c r="K216" s="3" t="s">
        <v>10</v>
      </c>
      <c r="L216" s="2" t="s">
        <v>9</v>
      </c>
    </row>
    <row r="217" spans="1:12" x14ac:dyDescent="0.25">
      <c r="A217" s="4">
        <v>45787</v>
      </c>
      <c r="B217" t="s">
        <v>21</v>
      </c>
      <c r="C217" t="s">
        <v>147</v>
      </c>
      <c r="D217" t="s">
        <v>23</v>
      </c>
      <c r="F217" s="5">
        <v>122316</v>
      </c>
      <c r="G217" t="s">
        <v>148</v>
      </c>
      <c r="I217" s="7" t="s">
        <v>25</v>
      </c>
      <c r="J217" s="5">
        <v>240000</v>
      </c>
    </row>
    <row r="218" spans="1:12" x14ac:dyDescent="0.25">
      <c r="I218" s="7" t="s">
        <v>149</v>
      </c>
      <c r="J218" s="5">
        <v>40000</v>
      </c>
    </row>
    <row r="219" spans="1:12" x14ac:dyDescent="0.25">
      <c r="I219" s="7" t="s">
        <v>150</v>
      </c>
      <c r="J219" s="5">
        <v>150000</v>
      </c>
    </row>
    <row r="221" spans="1:12" x14ac:dyDescent="0.25">
      <c r="I221" s="7" t="s">
        <v>20</v>
      </c>
      <c r="J221" s="5">
        <f>SUM(J217:J220)</f>
        <v>430000</v>
      </c>
    </row>
    <row r="223" spans="1:12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2" t="s">
        <v>5</v>
      </c>
      <c r="G223" s="3" t="s">
        <v>6</v>
      </c>
      <c r="H223" s="3" t="s">
        <v>7</v>
      </c>
      <c r="I223" s="6" t="s">
        <v>8</v>
      </c>
      <c r="J223" s="2" t="s">
        <v>9</v>
      </c>
      <c r="K223" s="3" t="s">
        <v>10</v>
      </c>
      <c r="L223" s="2" t="s">
        <v>9</v>
      </c>
    </row>
    <row r="224" spans="1:12" x14ac:dyDescent="0.25">
      <c r="A224" s="4">
        <v>45787</v>
      </c>
      <c r="B224" t="s">
        <v>151</v>
      </c>
      <c r="C224" t="s">
        <v>152</v>
      </c>
      <c r="D224" t="s">
        <v>153</v>
      </c>
      <c r="F224" s="5">
        <v>63441</v>
      </c>
      <c r="I224" s="7" t="s">
        <v>17</v>
      </c>
      <c r="J224" s="5">
        <v>207000</v>
      </c>
    </row>
    <row r="225" spans="1:12" x14ac:dyDescent="0.25">
      <c r="I225" s="7" t="s">
        <v>18</v>
      </c>
      <c r="J225" s="5">
        <v>46000</v>
      </c>
    </row>
    <row r="226" spans="1:12" x14ac:dyDescent="0.25">
      <c r="I226" s="7" t="s">
        <v>100</v>
      </c>
      <c r="J226" s="5">
        <v>30000</v>
      </c>
    </row>
    <row r="228" spans="1:12" x14ac:dyDescent="0.25">
      <c r="I228" s="7" t="s">
        <v>20</v>
      </c>
      <c r="J228" s="5">
        <v>350000</v>
      </c>
    </row>
    <row r="230" spans="1:12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2" t="s">
        <v>5</v>
      </c>
      <c r="G230" s="3" t="s">
        <v>6</v>
      </c>
      <c r="H230" s="3" t="s">
        <v>7</v>
      </c>
      <c r="I230" s="6" t="s">
        <v>8</v>
      </c>
      <c r="J230" s="2" t="s">
        <v>9</v>
      </c>
      <c r="K230" s="3" t="s">
        <v>10</v>
      </c>
      <c r="L230" s="2" t="s">
        <v>9</v>
      </c>
    </row>
    <row r="231" spans="1:12" x14ac:dyDescent="0.25">
      <c r="A231" s="4">
        <v>45787</v>
      </c>
      <c r="B231" t="s">
        <v>40</v>
      </c>
      <c r="C231" t="s">
        <v>154</v>
      </c>
      <c r="D231" t="s">
        <v>29</v>
      </c>
      <c r="F231" s="5">
        <v>134047</v>
      </c>
      <c r="G231" t="s">
        <v>155</v>
      </c>
      <c r="I231" s="7" t="s">
        <v>26</v>
      </c>
    </row>
    <row r="233" spans="1:12" x14ac:dyDescent="0.25">
      <c r="I233" s="7" t="s">
        <v>20</v>
      </c>
      <c r="J233" s="5">
        <v>80000</v>
      </c>
    </row>
    <row r="235" spans="1:12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2" t="s">
        <v>5</v>
      </c>
      <c r="G235" s="3" t="s">
        <v>6</v>
      </c>
      <c r="H235" s="3" t="s">
        <v>7</v>
      </c>
      <c r="I235" s="6" t="s">
        <v>8</v>
      </c>
      <c r="J235" s="2" t="s">
        <v>9</v>
      </c>
      <c r="K235" s="3" t="s">
        <v>10</v>
      </c>
      <c r="L235" s="2" t="s">
        <v>9</v>
      </c>
    </row>
    <row r="236" spans="1:12" x14ac:dyDescent="0.25">
      <c r="A236" s="4">
        <v>45787</v>
      </c>
      <c r="B236" t="s">
        <v>156</v>
      </c>
      <c r="C236" t="s">
        <v>157</v>
      </c>
      <c r="D236" t="s">
        <v>29</v>
      </c>
      <c r="E236">
        <v>2017</v>
      </c>
      <c r="F236" s="5">
        <v>46617</v>
      </c>
      <c r="G236" t="s">
        <v>158</v>
      </c>
      <c r="H236">
        <v>3166489573</v>
      </c>
      <c r="I236" s="7" t="s">
        <v>17</v>
      </c>
      <c r="J236" s="5">
        <v>60000</v>
      </c>
    </row>
    <row r="237" spans="1:12" x14ac:dyDescent="0.25">
      <c r="I237" s="7" t="s">
        <v>18</v>
      </c>
      <c r="J237" s="5">
        <v>18000</v>
      </c>
    </row>
    <row r="238" spans="1:12" x14ac:dyDescent="0.25">
      <c r="I238" s="7" t="s">
        <v>77</v>
      </c>
      <c r="J238" s="5">
        <v>22000</v>
      </c>
    </row>
    <row r="239" spans="1:12" x14ac:dyDescent="0.25">
      <c r="I239" s="7" t="s">
        <v>159</v>
      </c>
      <c r="J239" s="5">
        <v>180000</v>
      </c>
    </row>
    <row r="241" spans="1:12" x14ac:dyDescent="0.25">
      <c r="I241" s="7" t="s">
        <v>20</v>
      </c>
      <c r="J241" s="5">
        <f>SUM(J236:J240)</f>
        <v>280000</v>
      </c>
    </row>
    <row r="243" spans="1:12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2" t="s">
        <v>5</v>
      </c>
      <c r="G243" s="3" t="s">
        <v>6</v>
      </c>
      <c r="H243" s="3" t="s">
        <v>7</v>
      </c>
      <c r="I243" s="6" t="s">
        <v>8</v>
      </c>
      <c r="J243" s="2" t="s">
        <v>9</v>
      </c>
      <c r="K243" s="3" t="s">
        <v>10</v>
      </c>
      <c r="L243" s="2" t="s">
        <v>9</v>
      </c>
    </row>
    <row r="244" spans="1:12" x14ac:dyDescent="0.25">
      <c r="A244" t="s">
        <v>192</v>
      </c>
      <c r="B244" t="s">
        <v>110</v>
      </c>
      <c r="C244" t="s">
        <v>193</v>
      </c>
      <c r="D244" t="s">
        <v>23</v>
      </c>
      <c r="E244">
        <v>2024</v>
      </c>
      <c r="F244" s="5">
        <v>25064</v>
      </c>
      <c r="G244" t="s">
        <v>194</v>
      </c>
      <c r="H244">
        <v>3108693035</v>
      </c>
      <c r="I244" s="7" t="s">
        <v>195</v>
      </c>
      <c r="J244" s="5">
        <v>250000</v>
      </c>
    </row>
    <row r="245" spans="1:12" x14ac:dyDescent="0.25">
      <c r="I245" s="7" t="s">
        <v>196</v>
      </c>
      <c r="J245" s="5">
        <v>105000</v>
      </c>
    </row>
    <row r="246" spans="1:12" x14ac:dyDescent="0.25">
      <c r="I246" s="7" t="s">
        <v>197</v>
      </c>
      <c r="J246" s="5">
        <v>35000</v>
      </c>
    </row>
    <row r="247" spans="1:12" x14ac:dyDescent="0.25">
      <c r="I247" s="7" t="s">
        <v>198</v>
      </c>
      <c r="J247" s="5">
        <v>30000</v>
      </c>
    </row>
    <row r="248" spans="1:12" x14ac:dyDescent="0.25">
      <c r="I248" s="7" t="s">
        <v>199</v>
      </c>
      <c r="J248" s="5">
        <v>280000</v>
      </c>
    </row>
    <row r="249" spans="1:12" x14ac:dyDescent="0.25">
      <c r="I249" s="7" t="s">
        <v>200</v>
      </c>
      <c r="J249" s="5">
        <v>80000</v>
      </c>
    </row>
    <row r="250" spans="1:12" x14ac:dyDescent="0.25">
      <c r="I250" s="7" t="s">
        <v>201</v>
      </c>
      <c r="J250" s="5">
        <v>54100</v>
      </c>
    </row>
    <row r="251" spans="1:12" x14ac:dyDescent="0.25">
      <c r="I251" s="7" t="s">
        <v>202</v>
      </c>
      <c r="J251" s="5">
        <v>26600</v>
      </c>
    </row>
    <row r="252" spans="1:12" x14ac:dyDescent="0.25">
      <c r="I252" s="7" t="s">
        <v>203</v>
      </c>
      <c r="J252" s="5">
        <v>270000</v>
      </c>
    </row>
    <row r="253" spans="1:12" x14ac:dyDescent="0.25">
      <c r="I253" s="7" t="s">
        <v>77</v>
      </c>
      <c r="J253" s="5">
        <v>22000</v>
      </c>
    </row>
    <row r="254" spans="1:12" x14ac:dyDescent="0.25">
      <c r="I254" s="7" t="s">
        <v>204</v>
      </c>
      <c r="J254" s="5">
        <v>40000</v>
      </c>
    </row>
    <row r="255" spans="1:12" x14ac:dyDescent="0.25">
      <c r="I255" s="7" t="s">
        <v>205</v>
      </c>
    </row>
    <row r="256" spans="1:12" x14ac:dyDescent="0.25">
      <c r="I256" s="7" t="s">
        <v>206</v>
      </c>
      <c r="J256" s="5">
        <v>120000</v>
      </c>
    </row>
    <row r="258" spans="1:12" x14ac:dyDescent="0.25">
      <c r="I258" s="7" t="s">
        <v>20</v>
      </c>
      <c r="J258" s="5">
        <f>SUM(J244:J257)</f>
        <v>1312700</v>
      </c>
    </row>
    <row r="260" spans="1:12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2" t="s">
        <v>5</v>
      </c>
      <c r="G260" s="3" t="s">
        <v>6</v>
      </c>
      <c r="H260" s="3" t="s">
        <v>7</v>
      </c>
      <c r="I260" s="6" t="s">
        <v>8</v>
      </c>
      <c r="J260" s="2" t="s">
        <v>9</v>
      </c>
      <c r="K260" s="3" t="s">
        <v>10</v>
      </c>
      <c r="L260" s="2" t="s">
        <v>9</v>
      </c>
    </row>
    <row r="261" spans="1:12" x14ac:dyDescent="0.25">
      <c r="A261" s="4">
        <v>45789</v>
      </c>
      <c r="B261" t="s">
        <v>21</v>
      </c>
      <c r="C261" t="s">
        <v>165</v>
      </c>
      <c r="D261" t="s">
        <v>29</v>
      </c>
      <c r="F261" s="5">
        <v>14790</v>
      </c>
      <c r="G261" t="s">
        <v>166</v>
      </c>
      <c r="I261" s="7" t="s">
        <v>167</v>
      </c>
      <c r="J261" s="5">
        <v>80000</v>
      </c>
    </row>
    <row r="262" spans="1:12" x14ac:dyDescent="0.25">
      <c r="I262" s="7" t="s">
        <v>168</v>
      </c>
      <c r="J262" s="5">
        <v>40000</v>
      </c>
    </row>
    <row r="263" spans="1:12" x14ac:dyDescent="0.25">
      <c r="I263" s="7" t="s">
        <v>149</v>
      </c>
      <c r="J263" s="5">
        <v>35000</v>
      </c>
    </row>
    <row r="264" spans="1:12" x14ac:dyDescent="0.25">
      <c r="I264" s="7" t="s">
        <v>169</v>
      </c>
      <c r="J264" s="5">
        <v>20000</v>
      </c>
    </row>
    <row r="265" spans="1:12" x14ac:dyDescent="0.25">
      <c r="I265" s="7" t="s">
        <v>77</v>
      </c>
    </row>
    <row r="267" spans="1:12" x14ac:dyDescent="0.25">
      <c r="I267" s="7" t="s">
        <v>20</v>
      </c>
      <c r="J267" s="5">
        <f>SUM(J261:J266)</f>
        <v>175000</v>
      </c>
    </row>
    <row r="269" spans="1:12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2" t="s">
        <v>5</v>
      </c>
      <c r="G269" s="3" t="s">
        <v>6</v>
      </c>
      <c r="H269" s="3" t="s">
        <v>7</v>
      </c>
      <c r="I269" s="6" t="s">
        <v>8</v>
      </c>
      <c r="J269" s="2" t="s">
        <v>9</v>
      </c>
      <c r="K269" s="3" t="s">
        <v>10</v>
      </c>
      <c r="L269" s="2" t="s">
        <v>9</v>
      </c>
    </row>
    <row r="270" spans="1:12" x14ac:dyDescent="0.25">
      <c r="A270" s="4">
        <v>45789</v>
      </c>
      <c r="B270" t="s">
        <v>21</v>
      </c>
      <c r="C270" t="s">
        <v>170</v>
      </c>
      <c r="D270" t="s">
        <v>153</v>
      </c>
      <c r="F270" s="5">
        <v>70048</v>
      </c>
      <c r="G270" t="s">
        <v>171</v>
      </c>
      <c r="H270">
        <v>3003068298</v>
      </c>
      <c r="I270" s="7" t="s">
        <v>172</v>
      </c>
      <c r="J270" s="5">
        <v>228000</v>
      </c>
    </row>
    <row r="271" spans="1:12" x14ac:dyDescent="0.25">
      <c r="I271" s="7" t="s">
        <v>88</v>
      </c>
      <c r="J271" s="5">
        <v>310000</v>
      </c>
    </row>
    <row r="272" spans="1:12" x14ac:dyDescent="0.25">
      <c r="I272" s="7" t="s">
        <v>77</v>
      </c>
      <c r="J272" s="5">
        <v>22000</v>
      </c>
    </row>
    <row r="273" spans="1:12" x14ac:dyDescent="0.25">
      <c r="I273" s="7" t="s">
        <v>17</v>
      </c>
      <c r="J273" s="5">
        <v>160000</v>
      </c>
    </row>
    <row r="274" spans="1:12" x14ac:dyDescent="0.25">
      <c r="I274" s="7" t="s">
        <v>18</v>
      </c>
      <c r="J274" s="5">
        <v>46000</v>
      </c>
    </row>
    <row r="275" spans="1:12" x14ac:dyDescent="0.25">
      <c r="I275" s="7" t="s">
        <v>173</v>
      </c>
      <c r="J275" s="5">
        <v>10000</v>
      </c>
    </row>
    <row r="276" spans="1:12" x14ac:dyDescent="0.25">
      <c r="I276" s="7" t="s">
        <v>174</v>
      </c>
      <c r="J276" s="5">
        <v>70000</v>
      </c>
    </row>
    <row r="278" spans="1:12" x14ac:dyDescent="0.25">
      <c r="I278" s="7" t="s">
        <v>20</v>
      </c>
      <c r="J278" s="5">
        <f>SUM(J270:J277)</f>
        <v>846000</v>
      </c>
    </row>
    <row r="280" spans="1:12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2" t="s">
        <v>5</v>
      </c>
      <c r="G280" s="3" t="s">
        <v>6</v>
      </c>
      <c r="H280" s="3" t="s">
        <v>7</v>
      </c>
      <c r="I280" s="6" t="s">
        <v>8</v>
      </c>
      <c r="J280" s="2" t="s">
        <v>9</v>
      </c>
      <c r="K280" s="3" t="s">
        <v>10</v>
      </c>
      <c r="L280" s="2" t="s">
        <v>9</v>
      </c>
    </row>
    <row r="281" spans="1:12" x14ac:dyDescent="0.25">
      <c r="A281" s="4">
        <v>45789</v>
      </c>
      <c r="B281" t="s">
        <v>21</v>
      </c>
      <c r="C281" t="s">
        <v>175</v>
      </c>
      <c r="D281" t="s">
        <v>153</v>
      </c>
      <c r="F281" s="5">
        <v>159288</v>
      </c>
      <c r="G281" t="s">
        <v>176</v>
      </c>
      <c r="I281" s="7" t="s">
        <v>17</v>
      </c>
    </row>
    <row r="282" spans="1:12" x14ac:dyDescent="0.25">
      <c r="I282" s="7" t="s">
        <v>18</v>
      </c>
      <c r="J282" s="5">
        <v>46000</v>
      </c>
    </row>
    <row r="283" spans="1:12" x14ac:dyDescent="0.25">
      <c r="I283" s="7" t="s">
        <v>100</v>
      </c>
      <c r="J283" s="5">
        <v>40000</v>
      </c>
    </row>
    <row r="285" spans="1:12" x14ac:dyDescent="0.25">
      <c r="I285" s="7" t="s">
        <v>20</v>
      </c>
      <c r="J285" s="5">
        <f>SUM(J281:J284)</f>
        <v>86000</v>
      </c>
    </row>
    <row r="287" spans="1:12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2" t="s">
        <v>5</v>
      </c>
      <c r="G287" s="3" t="s">
        <v>6</v>
      </c>
      <c r="H287" s="3" t="s">
        <v>7</v>
      </c>
      <c r="I287" s="6" t="s">
        <v>8</v>
      </c>
      <c r="J287" s="2" t="s">
        <v>9</v>
      </c>
      <c r="K287" s="3" t="s">
        <v>10</v>
      </c>
      <c r="L287" s="2" t="s">
        <v>9</v>
      </c>
    </row>
    <row r="288" spans="1:12" x14ac:dyDescent="0.25">
      <c r="A288" s="4">
        <v>45790</v>
      </c>
      <c r="B288" t="s">
        <v>21</v>
      </c>
      <c r="C288" t="s">
        <v>177</v>
      </c>
      <c r="D288" t="s">
        <v>29</v>
      </c>
      <c r="F288" s="5">
        <v>45173</v>
      </c>
      <c r="G288" t="s">
        <v>178</v>
      </c>
      <c r="I288" s="7" t="s">
        <v>126</v>
      </c>
      <c r="J288" s="5">
        <v>420000</v>
      </c>
    </row>
    <row r="289" spans="1:12" x14ac:dyDescent="0.25">
      <c r="I289" s="7" t="s">
        <v>167</v>
      </c>
      <c r="J289" s="5">
        <v>40000</v>
      </c>
    </row>
    <row r="291" spans="1:12" x14ac:dyDescent="0.25">
      <c r="I291" s="7" t="s">
        <v>20</v>
      </c>
      <c r="J291" s="5">
        <f>SUM(J288:J290)</f>
        <v>460000</v>
      </c>
    </row>
    <row r="293" spans="1:12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2" t="s">
        <v>5</v>
      </c>
      <c r="G293" s="3" t="s">
        <v>6</v>
      </c>
      <c r="H293" s="3" t="s">
        <v>7</v>
      </c>
      <c r="I293" s="6" t="s">
        <v>8</v>
      </c>
      <c r="J293" s="2" t="s">
        <v>9</v>
      </c>
      <c r="K293" s="3" t="s">
        <v>10</v>
      </c>
      <c r="L293" s="2" t="s">
        <v>9</v>
      </c>
    </row>
    <row r="294" spans="1:12" x14ac:dyDescent="0.25">
      <c r="A294" s="4">
        <v>45790</v>
      </c>
      <c r="B294" t="s">
        <v>179</v>
      </c>
      <c r="D294" t="s">
        <v>53</v>
      </c>
      <c r="G294" t="s">
        <v>180</v>
      </c>
      <c r="I294" s="7" t="s">
        <v>181</v>
      </c>
    </row>
    <row r="295" spans="1:12" x14ac:dyDescent="0.25">
      <c r="I295" s="7" t="s">
        <v>182</v>
      </c>
    </row>
    <row r="296" spans="1:12" x14ac:dyDescent="0.25">
      <c r="I296" s="7" t="s">
        <v>167</v>
      </c>
    </row>
    <row r="298" spans="1:12" x14ac:dyDescent="0.25">
      <c r="I298" s="7" t="s">
        <v>20</v>
      </c>
      <c r="J298" s="5">
        <v>950000</v>
      </c>
    </row>
    <row r="300" spans="1:12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2" t="s">
        <v>5</v>
      </c>
      <c r="G300" s="3" t="s">
        <v>6</v>
      </c>
      <c r="H300" s="3" t="s">
        <v>7</v>
      </c>
      <c r="I300" s="6" t="s">
        <v>8</v>
      </c>
      <c r="J300" s="2" t="s">
        <v>9</v>
      </c>
      <c r="K300" s="3" t="s">
        <v>10</v>
      </c>
      <c r="L300" s="2" t="s">
        <v>9</v>
      </c>
    </row>
    <row r="301" spans="1:12" x14ac:dyDescent="0.25">
      <c r="A301" s="4">
        <v>45791</v>
      </c>
      <c r="B301" t="s">
        <v>183</v>
      </c>
      <c r="C301" t="s">
        <v>184</v>
      </c>
      <c r="D301" t="s">
        <v>153</v>
      </c>
      <c r="F301" s="5">
        <v>21580</v>
      </c>
      <c r="G301" t="s">
        <v>185</v>
      </c>
      <c r="I301" s="7" t="s">
        <v>186</v>
      </c>
      <c r="J301" s="5">
        <v>240000</v>
      </c>
    </row>
    <row r="302" spans="1:12" x14ac:dyDescent="0.25">
      <c r="I302" s="7" t="s">
        <v>100</v>
      </c>
      <c r="J302" s="5">
        <v>120000</v>
      </c>
    </row>
    <row r="303" spans="1:12" x14ac:dyDescent="0.25">
      <c r="I303" s="7" t="s">
        <v>187</v>
      </c>
      <c r="J303" s="5">
        <v>120000</v>
      </c>
    </row>
    <row r="305" spans="1:12" x14ac:dyDescent="0.25">
      <c r="I305" s="7" t="s">
        <v>20</v>
      </c>
      <c r="J305" s="5">
        <f>SUM(J301:J304)</f>
        <v>480000</v>
      </c>
    </row>
    <row r="307" spans="1:12" x14ac:dyDescent="0.25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2" t="s">
        <v>5</v>
      </c>
      <c r="G307" s="3" t="s">
        <v>6</v>
      </c>
      <c r="H307" s="3" t="s">
        <v>7</v>
      </c>
      <c r="I307" s="6" t="s">
        <v>8</v>
      </c>
      <c r="J307" s="2" t="s">
        <v>9</v>
      </c>
      <c r="K307" s="3" t="s">
        <v>10</v>
      </c>
      <c r="L307" s="2" t="s">
        <v>9</v>
      </c>
    </row>
    <row r="308" spans="1:12" x14ac:dyDescent="0.25">
      <c r="A308" s="4">
        <v>45791</v>
      </c>
      <c r="B308" t="s">
        <v>160</v>
      </c>
      <c r="C308" t="s">
        <v>161</v>
      </c>
      <c r="D308" t="s">
        <v>53</v>
      </c>
      <c r="F308" s="5">
        <v>29017</v>
      </c>
      <c r="G308" t="s">
        <v>162</v>
      </c>
      <c r="I308" s="7" t="s">
        <v>163</v>
      </c>
      <c r="J308" s="5">
        <v>40000</v>
      </c>
    </row>
    <row r="309" spans="1:12" x14ac:dyDescent="0.25">
      <c r="I309" s="7" t="s">
        <v>164</v>
      </c>
      <c r="J309" s="5">
        <v>15000</v>
      </c>
    </row>
    <row r="311" spans="1:12" x14ac:dyDescent="0.25">
      <c r="I311" s="7" t="s">
        <v>20</v>
      </c>
      <c r="J311" s="5">
        <f>SUM(J308:J310)</f>
        <v>55000</v>
      </c>
    </row>
    <row r="313" spans="1:12" x14ac:dyDescent="0.25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2" t="s">
        <v>5</v>
      </c>
      <c r="G313" s="3" t="s">
        <v>6</v>
      </c>
      <c r="H313" s="3" t="s">
        <v>7</v>
      </c>
      <c r="I313" s="6" t="s">
        <v>8</v>
      </c>
      <c r="J313" s="2" t="s">
        <v>9</v>
      </c>
      <c r="K313" s="3" t="s">
        <v>10</v>
      </c>
      <c r="L313" s="2" t="s">
        <v>9</v>
      </c>
    </row>
    <row r="314" spans="1:12" x14ac:dyDescent="0.25">
      <c r="A314" s="4">
        <v>45791</v>
      </c>
      <c r="B314" t="s">
        <v>21</v>
      </c>
      <c r="C314" t="s">
        <v>188</v>
      </c>
      <c r="D314" t="s">
        <v>23</v>
      </c>
      <c r="F314" s="5">
        <v>119762</v>
      </c>
      <c r="G314" t="s">
        <v>189</v>
      </c>
      <c r="I314" s="7" t="s">
        <v>190</v>
      </c>
      <c r="J314" s="5">
        <v>50000</v>
      </c>
    </row>
    <row r="315" spans="1:12" x14ac:dyDescent="0.25">
      <c r="I315" s="7" t="s">
        <v>100</v>
      </c>
      <c r="J315" s="5">
        <v>180000</v>
      </c>
    </row>
    <row r="316" spans="1:12" x14ac:dyDescent="0.25">
      <c r="I316" s="7" t="s">
        <v>191</v>
      </c>
      <c r="J316" s="5">
        <v>44000</v>
      </c>
    </row>
    <row r="318" spans="1:12" x14ac:dyDescent="0.25">
      <c r="I318" s="7" t="s">
        <v>20</v>
      </c>
      <c r="J318" s="5">
        <f>SUM(J314:J317)</f>
        <v>274000</v>
      </c>
    </row>
    <row r="320" spans="1:12" x14ac:dyDescent="0.25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2" t="s">
        <v>5</v>
      </c>
      <c r="G320" s="3" t="s">
        <v>6</v>
      </c>
      <c r="H320" s="3" t="s">
        <v>7</v>
      </c>
      <c r="I320" s="6" t="s">
        <v>8</v>
      </c>
      <c r="J320" s="2" t="s">
        <v>9</v>
      </c>
      <c r="K320" s="3" t="s">
        <v>10</v>
      </c>
      <c r="L320" s="2" t="s">
        <v>9</v>
      </c>
    </row>
    <row r="321" spans="1:12" x14ac:dyDescent="0.25">
      <c r="A321" s="4">
        <v>45791</v>
      </c>
      <c r="B321" t="s">
        <v>21</v>
      </c>
      <c r="C321" t="s">
        <v>211</v>
      </c>
      <c r="D321" t="s">
        <v>29</v>
      </c>
      <c r="E321">
        <v>2022</v>
      </c>
      <c r="F321" s="5">
        <v>60547</v>
      </c>
      <c r="G321" t="s">
        <v>212</v>
      </c>
      <c r="I321" s="7" t="s">
        <v>16</v>
      </c>
      <c r="J321" s="5">
        <v>390000</v>
      </c>
    </row>
    <row r="322" spans="1:12" x14ac:dyDescent="0.25">
      <c r="I322" s="7" t="s">
        <v>213</v>
      </c>
      <c r="J322" s="5">
        <v>150000</v>
      </c>
    </row>
    <row r="323" spans="1:12" x14ac:dyDescent="0.25">
      <c r="I323" s="7" t="s">
        <v>214</v>
      </c>
      <c r="J323" s="5">
        <v>120000</v>
      </c>
    </row>
    <row r="324" spans="1:12" x14ac:dyDescent="0.25">
      <c r="I324" s="7" t="s">
        <v>215</v>
      </c>
      <c r="J324" s="5">
        <v>30000</v>
      </c>
    </row>
    <row r="325" spans="1:12" x14ac:dyDescent="0.25">
      <c r="I325" s="7" t="s">
        <v>17</v>
      </c>
      <c r="J325" s="5">
        <v>192000</v>
      </c>
    </row>
    <row r="326" spans="1:12" x14ac:dyDescent="0.25">
      <c r="I326" s="7" t="s">
        <v>18</v>
      </c>
    </row>
    <row r="327" spans="1:12" x14ac:dyDescent="0.25">
      <c r="I327" s="7" t="s">
        <v>108</v>
      </c>
      <c r="J327" s="5">
        <v>150000</v>
      </c>
    </row>
    <row r="328" spans="1:12" x14ac:dyDescent="0.25">
      <c r="I328" s="7" t="s">
        <v>150</v>
      </c>
      <c r="J328" s="5">
        <v>150000</v>
      </c>
    </row>
    <row r="329" spans="1:12" x14ac:dyDescent="0.25">
      <c r="I329" s="7" t="s">
        <v>77</v>
      </c>
      <c r="J329" s="5">
        <v>22000</v>
      </c>
    </row>
    <row r="330" spans="1:12" x14ac:dyDescent="0.25">
      <c r="I330" s="7" t="s">
        <v>216</v>
      </c>
      <c r="J330" s="5">
        <v>90000</v>
      </c>
    </row>
    <row r="331" spans="1:12" x14ac:dyDescent="0.25">
      <c r="I331" s="7" t="s">
        <v>217</v>
      </c>
      <c r="J331" s="5">
        <v>30000</v>
      </c>
    </row>
    <row r="333" spans="1:12" x14ac:dyDescent="0.25">
      <c r="I333" s="7" t="s">
        <v>20</v>
      </c>
      <c r="J333" s="5">
        <f>SUM(J321:J332)</f>
        <v>1324000</v>
      </c>
    </row>
    <row r="335" spans="1:12" x14ac:dyDescent="0.25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2" t="s">
        <v>5</v>
      </c>
      <c r="G335" s="3" t="s">
        <v>6</v>
      </c>
      <c r="H335" s="3" t="s">
        <v>7</v>
      </c>
      <c r="I335" s="6" t="s">
        <v>8</v>
      </c>
      <c r="J335" s="2" t="s">
        <v>9</v>
      </c>
      <c r="K335" s="3" t="s">
        <v>10</v>
      </c>
      <c r="L335" s="2" t="s">
        <v>9</v>
      </c>
    </row>
    <row r="336" spans="1:12" x14ac:dyDescent="0.25">
      <c r="A336" s="4">
        <v>45792</v>
      </c>
      <c r="B336" t="s">
        <v>89</v>
      </c>
      <c r="C336" t="s">
        <v>918</v>
      </c>
      <c r="E336">
        <v>2017</v>
      </c>
      <c r="F336" s="5">
        <v>55802</v>
      </c>
      <c r="G336" t="s">
        <v>919</v>
      </c>
      <c r="H336">
        <v>3115140642</v>
      </c>
      <c r="I336" s="7" t="s">
        <v>17</v>
      </c>
    </row>
    <row r="337" spans="1:12" x14ac:dyDescent="0.25">
      <c r="I337" s="7" t="s">
        <v>920</v>
      </c>
    </row>
    <row r="338" spans="1:12" x14ac:dyDescent="0.25">
      <c r="I338" s="7" t="s">
        <v>921</v>
      </c>
    </row>
    <row r="339" spans="1:12" x14ac:dyDescent="0.25">
      <c r="I339" s="7" t="s">
        <v>77</v>
      </c>
    </row>
    <row r="341" spans="1:12" x14ac:dyDescent="0.25">
      <c r="I341" s="7" t="s">
        <v>20</v>
      </c>
    </row>
    <row r="343" spans="1:12" x14ac:dyDescent="0.25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2" t="s">
        <v>5</v>
      </c>
      <c r="G343" s="3" t="s">
        <v>6</v>
      </c>
      <c r="H343" s="3" t="s">
        <v>7</v>
      </c>
      <c r="I343" s="6" t="s">
        <v>8</v>
      </c>
      <c r="J343" s="2" t="s">
        <v>9</v>
      </c>
      <c r="K343" s="3" t="s">
        <v>10</v>
      </c>
      <c r="L343" s="2" t="s">
        <v>9</v>
      </c>
    </row>
    <row r="344" spans="1:12" x14ac:dyDescent="0.25">
      <c r="A344" s="4">
        <v>45793</v>
      </c>
      <c r="B344" t="s">
        <v>222</v>
      </c>
      <c r="C344" t="s">
        <v>223</v>
      </c>
      <c r="D344" t="s">
        <v>53</v>
      </c>
      <c r="F344" s="5">
        <v>78930</v>
      </c>
      <c r="I344" s="7" t="s">
        <v>168</v>
      </c>
      <c r="J344" s="5">
        <v>90000</v>
      </c>
    </row>
    <row r="346" spans="1:12" x14ac:dyDescent="0.25">
      <c r="I346" s="7" t="s">
        <v>20</v>
      </c>
      <c r="J346" s="5">
        <v>90000</v>
      </c>
    </row>
    <row r="348" spans="1:12" x14ac:dyDescent="0.25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2" t="s">
        <v>5</v>
      </c>
      <c r="G348" s="3" t="s">
        <v>6</v>
      </c>
      <c r="H348" s="3" t="s">
        <v>7</v>
      </c>
      <c r="I348" s="6" t="s">
        <v>8</v>
      </c>
      <c r="J348" s="2" t="s">
        <v>9</v>
      </c>
      <c r="K348" s="3" t="s">
        <v>10</v>
      </c>
      <c r="L348" s="2" t="s">
        <v>9</v>
      </c>
    </row>
    <row r="349" spans="1:12" x14ac:dyDescent="0.25">
      <c r="A349" s="4">
        <v>45794</v>
      </c>
      <c r="B349" t="s">
        <v>224</v>
      </c>
      <c r="D349" t="s">
        <v>13</v>
      </c>
      <c r="I349" s="7" t="s">
        <v>225</v>
      </c>
      <c r="J349" s="5">
        <v>380000</v>
      </c>
    </row>
    <row r="350" spans="1:12" x14ac:dyDescent="0.25">
      <c r="I350" s="7" t="s">
        <v>125</v>
      </c>
      <c r="J350" s="5">
        <v>60000</v>
      </c>
    </row>
    <row r="351" spans="1:12" x14ac:dyDescent="0.25">
      <c r="I351" s="7" t="s">
        <v>226</v>
      </c>
      <c r="J351" s="5">
        <v>280000</v>
      </c>
    </row>
    <row r="352" spans="1:12" x14ac:dyDescent="0.25">
      <c r="I352" s="7" t="s">
        <v>227</v>
      </c>
      <c r="J352" s="5">
        <v>38000</v>
      </c>
    </row>
    <row r="353" spans="1:12" x14ac:dyDescent="0.25">
      <c r="I353" s="7" t="s">
        <v>228</v>
      </c>
      <c r="J353" s="5">
        <v>25000</v>
      </c>
    </row>
    <row r="354" spans="1:12" x14ac:dyDescent="0.25">
      <c r="I354" s="7" t="s">
        <v>229</v>
      </c>
      <c r="J354" s="5">
        <v>35000</v>
      </c>
    </row>
    <row r="355" spans="1:12" x14ac:dyDescent="0.25">
      <c r="I355" s="7" t="s">
        <v>230</v>
      </c>
      <c r="J355" s="5">
        <v>15000</v>
      </c>
    </row>
    <row r="356" spans="1:12" x14ac:dyDescent="0.25">
      <c r="I356" s="7" t="s">
        <v>231</v>
      </c>
      <c r="J356" s="5">
        <v>24000</v>
      </c>
    </row>
    <row r="357" spans="1:12" x14ac:dyDescent="0.25">
      <c r="I357" s="7" t="s">
        <v>232</v>
      </c>
      <c r="J357" s="5">
        <v>30000</v>
      </c>
    </row>
    <row r="358" spans="1:12" x14ac:dyDescent="0.25">
      <c r="I358" s="7" t="s">
        <v>233</v>
      </c>
      <c r="J358" s="5">
        <v>135000</v>
      </c>
    </row>
    <row r="359" spans="1:12" x14ac:dyDescent="0.25">
      <c r="I359" s="7" t="s">
        <v>234</v>
      </c>
      <c r="J359" s="5">
        <v>38000</v>
      </c>
    </row>
    <row r="361" spans="1:12" x14ac:dyDescent="0.25">
      <c r="I361" s="7" t="s">
        <v>20</v>
      </c>
      <c r="J361" s="5">
        <f>SUM(J349:J360)</f>
        <v>1060000</v>
      </c>
    </row>
    <row r="363" spans="1:12" x14ac:dyDescent="0.25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2" t="s">
        <v>5</v>
      </c>
      <c r="G363" s="3" t="s">
        <v>6</v>
      </c>
      <c r="H363" s="3" t="s">
        <v>7</v>
      </c>
      <c r="I363" s="6" t="s">
        <v>8</v>
      </c>
      <c r="J363" s="2" t="s">
        <v>9</v>
      </c>
      <c r="K363" s="3" t="s">
        <v>10</v>
      </c>
      <c r="L363" s="2" t="s">
        <v>9</v>
      </c>
    </row>
    <row r="364" spans="1:12" x14ac:dyDescent="0.25">
      <c r="A364" s="4">
        <v>45794</v>
      </c>
      <c r="B364" t="s">
        <v>235</v>
      </c>
      <c r="C364" t="s">
        <v>236</v>
      </c>
      <c r="D364" t="s">
        <v>13</v>
      </c>
      <c r="I364" s="7" t="s">
        <v>17</v>
      </c>
      <c r="J364" s="5">
        <v>136000</v>
      </c>
    </row>
    <row r="365" spans="1:12" x14ac:dyDescent="0.25">
      <c r="I365" s="7" t="s">
        <v>18</v>
      </c>
      <c r="J365" s="5">
        <v>20000</v>
      </c>
    </row>
    <row r="367" spans="1:12" x14ac:dyDescent="0.25">
      <c r="I367" s="7" t="s">
        <v>20</v>
      </c>
      <c r="J367" s="5">
        <f>SUM(J364:J366)</f>
        <v>156000</v>
      </c>
    </row>
    <row r="369" spans="1:12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2" t="s">
        <v>5</v>
      </c>
      <c r="G369" s="3" t="s">
        <v>6</v>
      </c>
      <c r="H369" s="3" t="s">
        <v>7</v>
      </c>
      <c r="I369" s="6" t="s">
        <v>8</v>
      </c>
      <c r="J369" s="2" t="s">
        <v>9</v>
      </c>
      <c r="K369" s="3" t="s">
        <v>10</v>
      </c>
      <c r="L369" s="2" t="s">
        <v>9</v>
      </c>
    </row>
    <row r="370" spans="1:12" x14ac:dyDescent="0.25">
      <c r="A370" s="4">
        <v>45796</v>
      </c>
      <c r="B370" t="s">
        <v>183</v>
      </c>
      <c r="C370" t="s">
        <v>218</v>
      </c>
      <c r="D370" t="s">
        <v>53</v>
      </c>
      <c r="E370">
        <v>1998</v>
      </c>
      <c r="F370" s="5">
        <v>107500</v>
      </c>
      <c r="G370" t="s">
        <v>219</v>
      </c>
      <c r="H370">
        <v>393388015989</v>
      </c>
      <c r="I370" s="7" t="s">
        <v>167</v>
      </c>
      <c r="J370" s="5">
        <v>30000</v>
      </c>
    </row>
    <row r="371" spans="1:12" x14ac:dyDescent="0.25">
      <c r="I371" s="7" t="s">
        <v>17</v>
      </c>
      <c r="J371" s="5">
        <v>110000</v>
      </c>
    </row>
    <row r="372" spans="1:12" x14ac:dyDescent="0.25">
      <c r="I372" s="7" t="s">
        <v>18</v>
      </c>
      <c r="J372" s="5">
        <v>46000</v>
      </c>
    </row>
    <row r="373" spans="1:12" x14ac:dyDescent="0.25">
      <c r="I373" s="7" t="s">
        <v>220</v>
      </c>
      <c r="J373" s="5">
        <v>15000</v>
      </c>
    </row>
    <row r="374" spans="1:12" x14ac:dyDescent="0.25">
      <c r="I374" s="7" t="s">
        <v>77</v>
      </c>
      <c r="J374" s="5">
        <v>22000</v>
      </c>
    </row>
    <row r="375" spans="1:12" x14ac:dyDescent="0.25">
      <c r="I375" s="7" t="s">
        <v>221</v>
      </c>
      <c r="J375" s="5">
        <v>20000</v>
      </c>
    </row>
    <row r="377" spans="1:12" x14ac:dyDescent="0.25">
      <c r="I377" s="7" t="s">
        <v>20</v>
      </c>
      <c r="J377" s="5">
        <f>SUM(J370:J376)</f>
        <v>243000</v>
      </c>
    </row>
    <row r="379" spans="1:12" x14ac:dyDescent="0.25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2" t="s">
        <v>5</v>
      </c>
      <c r="G379" s="3" t="s">
        <v>6</v>
      </c>
      <c r="H379" s="3" t="s">
        <v>7</v>
      </c>
      <c r="I379" s="6" t="s">
        <v>8</v>
      </c>
      <c r="J379" s="2" t="s">
        <v>9</v>
      </c>
      <c r="K379" s="3" t="s">
        <v>10</v>
      </c>
      <c r="L379" s="2" t="s">
        <v>9</v>
      </c>
    </row>
    <row r="380" spans="1:12" x14ac:dyDescent="0.25">
      <c r="A380" s="4">
        <v>45796</v>
      </c>
      <c r="B380" t="s">
        <v>207</v>
      </c>
      <c r="C380" t="s">
        <v>208</v>
      </c>
      <c r="D380" t="s">
        <v>13</v>
      </c>
      <c r="F380" s="5">
        <v>44814</v>
      </c>
      <c r="G380" t="s">
        <v>209</v>
      </c>
      <c r="H380">
        <v>3045995374</v>
      </c>
      <c r="I380" s="7" t="s">
        <v>210</v>
      </c>
    </row>
    <row r="381" spans="1:12" x14ac:dyDescent="0.25">
      <c r="I381" s="7" t="s">
        <v>100</v>
      </c>
    </row>
    <row r="383" spans="1:12" x14ac:dyDescent="0.25">
      <c r="I383" s="7" t="s">
        <v>20</v>
      </c>
    </row>
    <row r="385" spans="1:12" x14ac:dyDescent="0.25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2" t="s">
        <v>5</v>
      </c>
      <c r="G385" s="3" t="s">
        <v>6</v>
      </c>
      <c r="H385" s="3" t="s">
        <v>7</v>
      </c>
      <c r="I385" s="6" t="s">
        <v>8</v>
      </c>
      <c r="J385" s="2" t="s">
        <v>9</v>
      </c>
      <c r="K385" s="3" t="s">
        <v>10</v>
      </c>
      <c r="L385" s="2" t="s">
        <v>9</v>
      </c>
    </row>
    <row r="386" spans="1:12" x14ac:dyDescent="0.25">
      <c r="A386" s="4">
        <v>45796</v>
      </c>
      <c r="B386" t="s">
        <v>21</v>
      </c>
      <c r="C386" t="s">
        <v>237</v>
      </c>
      <c r="D386" t="s">
        <v>153</v>
      </c>
      <c r="E386">
        <v>2012</v>
      </c>
      <c r="F386" s="5">
        <v>172000</v>
      </c>
      <c r="G386" t="s">
        <v>238</v>
      </c>
      <c r="I386" s="7" t="s">
        <v>16</v>
      </c>
      <c r="J386" s="5">
        <v>390000</v>
      </c>
    </row>
    <row r="387" spans="1:12" x14ac:dyDescent="0.25">
      <c r="I387" s="7" t="s">
        <v>239</v>
      </c>
      <c r="J387" s="5">
        <v>1500000</v>
      </c>
    </row>
    <row r="388" spans="1:12" x14ac:dyDescent="0.25">
      <c r="I388" s="7" t="s">
        <v>240</v>
      </c>
      <c r="J388" s="5">
        <v>180000</v>
      </c>
    </row>
    <row r="389" spans="1:12" x14ac:dyDescent="0.25">
      <c r="I389" s="7" t="s">
        <v>17</v>
      </c>
      <c r="J389" s="5">
        <v>228000</v>
      </c>
    </row>
    <row r="390" spans="1:12" x14ac:dyDescent="0.25">
      <c r="I390" s="7" t="s">
        <v>18</v>
      </c>
      <c r="J390" s="5">
        <v>46000</v>
      </c>
    </row>
    <row r="391" spans="1:12" x14ac:dyDescent="0.25">
      <c r="I391" s="7" t="s">
        <v>241</v>
      </c>
      <c r="J391" s="5">
        <v>40000</v>
      </c>
    </row>
    <row r="392" spans="1:12" x14ac:dyDescent="0.25">
      <c r="I392" s="7" t="s">
        <v>242</v>
      </c>
      <c r="J392" s="5">
        <v>150000</v>
      </c>
    </row>
    <row r="393" spans="1:12" x14ac:dyDescent="0.25">
      <c r="I393" s="7" t="s">
        <v>108</v>
      </c>
      <c r="J393" s="5">
        <v>150000</v>
      </c>
    </row>
    <row r="394" spans="1:12" x14ac:dyDescent="0.25">
      <c r="I394" s="7" t="s">
        <v>243</v>
      </c>
      <c r="J394" s="5">
        <v>40000</v>
      </c>
    </row>
    <row r="395" spans="1:12" x14ac:dyDescent="0.25">
      <c r="I395" s="7" t="s">
        <v>244</v>
      </c>
      <c r="J395" s="5">
        <v>1200000</v>
      </c>
    </row>
    <row r="396" spans="1:12" x14ac:dyDescent="0.25">
      <c r="I396" s="7" t="s">
        <v>245</v>
      </c>
      <c r="J396" s="5">
        <v>150000</v>
      </c>
    </row>
    <row r="397" spans="1:12" x14ac:dyDescent="0.25">
      <c r="I397" s="7" t="s">
        <v>169</v>
      </c>
      <c r="J397" s="5">
        <v>38000</v>
      </c>
    </row>
    <row r="399" spans="1:12" x14ac:dyDescent="0.25">
      <c r="I399" s="7" t="s">
        <v>20</v>
      </c>
      <c r="J399" s="5">
        <f>SUM(J386:J398)</f>
        <v>4112000</v>
      </c>
    </row>
    <row r="401" spans="1:12" x14ac:dyDescent="0.25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2" t="s">
        <v>5</v>
      </c>
      <c r="G401" s="3" t="s">
        <v>6</v>
      </c>
      <c r="H401" s="3" t="s">
        <v>7</v>
      </c>
      <c r="I401" s="6" t="s">
        <v>8</v>
      </c>
      <c r="J401" s="2" t="s">
        <v>9</v>
      </c>
      <c r="K401" s="3" t="s">
        <v>10</v>
      </c>
      <c r="L401" s="2" t="s">
        <v>9</v>
      </c>
    </row>
    <row r="402" spans="1:12" x14ac:dyDescent="0.25">
      <c r="A402" s="4">
        <v>45797</v>
      </c>
      <c r="B402" t="s">
        <v>246</v>
      </c>
      <c r="C402" t="s">
        <v>247</v>
      </c>
      <c r="D402" t="s">
        <v>153</v>
      </c>
      <c r="F402" s="5">
        <v>43498</v>
      </c>
      <c r="G402" t="s">
        <v>248</v>
      </c>
      <c r="I402" s="7" t="s">
        <v>17</v>
      </c>
      <c r="J402" s="5">
        <v>72000</v>
      </c>
    </row>
    <row r="403" spans="1:12" x14ac:dyDescent="0.25">
      <c r="I403" s="7" t="s">
        <v>18</v>
      </c>
      <c r="J403" s="5">
        <v>15000</v>
      </c>
    </row>
    <row r="404" spans="1:12" x14ac:dyDescent="0.25">
      <c r="I404" s="7" t="s">
        <v>100</v>
      </c>
      <c r="J404" s="5">
        <v>15000</v>
      </c>
    </row>
    <row r="405" spans="1:12" x14ac:dyDescent="0.25">
      <c r="I405" s="7" t="s">
        <v>112</v>
      </c>
      <c r="J405" s="5">
        <v>6000</v>
      </c>
    </row>
    <row r="406" spans="1:12" x14ac:dyDescent="0.25">
      <c r="I406" s="7" t="s">
        <v>249</v>
      </c>
      <c r="J406" s="5">
        <v>10000</v>
      </c>
    </row>
    <row r="408" spans="1:12" x14ac:dyDescent="0.25">
      <c r="I408" s="7" t="s">
        <v>20</v>
      </c>
      <c r="J408" s="5">
        <f>SUM(J402:J407)</f>
        <v>118000</v>
      </c>
    </row>
    <row r="410" spans="1:12" x14ac:dyDescent="0.25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2" t="s">
        <v>5</v>
      </c>
      <c r="G410" s="3" t="s">
        <v>6</v>
      </c>
      <c r="H410" s="3" t="s">
        <v>7</v>
      </c>
      <c r="I410" s="6" t="s">
        <v>8</v>
      </c>
      <c r="J410" s="2" t="s">
        <v>9</v>
      </c>
      <c r="K410" s="3" t="s">
        <v>10</v>
      </c>
      <c r="L410" s="2" t="s">
        <v>9</v>
      </c>
    </row>
    <row r="411" spans="1:12" x14ac:dyDescent="0.25">
      <c r="A411" s="4">
        <v>45797</v>
      </c>
      <c r="B411" t="s">
        <v>21</v>
      </c>
      <c r="C411" t="s">
        <v>250</v>
      </c>
      <c r="D411" t="s">
        <v>29</v>
      </c>
      <c r="F411" s="5">
        <v>137344</v>
      </c>
      <c r="G411" t="s">
        <v>251</v>
      </c>
      <c r="H411">
        <v>3115136155</v>
      </c>
      <c r="I411" s="7" t="s">
        <v>159</v>
      </c>
      <c r="J411" s="5">
        <v>180000</v>
      </c>
    </row>
    <row r="412" spans="1:12" x14ac:dyDescent="0.25">
      <c r="I412" s="7" t="s">
        <v>17</v>
      </c>
      <c r="J412" s="5">
        <v>160000</v>
      </c>
    </row>
    <row r="413" spans="1:12" x14ac:dyDescent="0.25">
      <c r="I413" s="7" t="s">
        <v>18</v>
      </c>
      <c r="J413" s="5">
        <v>46000</v>
      </c>
    </row>
    <row r="414" spans="1:12" x14ac:dyDescent="0.25">
      <c r="I414" s="7" t="s">
        <v>48</v>
      </c>
      <c r="J414" s="5">
        <v>120000</v>
      </c>
    </row>
    <row r="415" spans="1:12" x14ac:dyDescent="0.25">
      <c r="I415" s="7" t="s">
        <v>77</v>
      </c>
      <c r="J415" s="5">
        <v>20000</v>
      </c>
    </row>
    <row r="416" spans="1:12" x14ac:dyDescent="0.25">
      <c r="I416" s="7" t="s">
        <v>252</v>
      </c>
      <c r="J416" s="5">
        <v>130000</v>
      </c>
    </row>
    <row r="417" spans="1:12" x14ac:dyDescent="0.25">
      <c r="I417" s="7" t="s">
        <v>253</v>
      </c>
      <c r="J417" s="5">
        <v>40000</v>
      </c>
    </row>
    <row r="418" spans="1:12" x14ac:dyDescent="0.25">
      <c r="I418" s="7" t="s">
        <v>221</v>
      </c>
      <c r="J418" s="5">
        <v>30000</v>
      </c>
    </row>
    <row r="420" spans="1:12" x14ac:dyDescent="0.25">
      <c r="I420" s="7" t="s">
        <v>20</v>
      </c>
      <c r="J420" s="5">
        <f>SUM(J411:J419)</f>
        <v>726000</v>
      </c>
    </row>
    <row r="422" spans="1:12" x14ac:dyDescent="0.25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2" t="s">
        <v>5</v>
      </c>
      <c r="G422" s="3" t="s">
        <v>6</v>
      </c>
      <c r="H422" s="3" t="s">
        <v>7</v>
      </c>
      <c r="I422" s="6" t="s">
        <v>8</v>
      </c>
      <c r="J422" s="2" t="s">
        <v>9</v>
      </c>
      <c r="K422" s="3" t="s">
        <v>10</v>
      </c>
      <c r="L422" s="2" t="s">
        <v>9</v>
      </c>
    </row>
    <row r="423" spans="1:12" x14ac:dyDescent="0.25">
      <c r="A423" s="4">
        <v>45797</v>
      </c>
      <c r="B423" t="s">
        <v>40</v>
      </c>
      <c r="C423" t="s">
        <v>254</v>
      </c>
      <c r="D423" t="s">
        <v>29</v>
      </c>
      <c r="F423" s="5">
        <v>191648</v>
      </c>
      <c r="G423" t="s">
        <v>255</v>
      </c>
      <c r="I423" s="7" t="s">
        <v>17</v>
      </c>
      <c r="J423" s="5">
        <v>200000</v>
      </c>
    </row>
    <row r="424" spans="1:12" x14ac:dyDescent="0.25">
      <c r="I424" s="7" t="s">
        <v>18</v>
      </c>
      <c r="J424" s="5">
        <v>46000</v>
      </c>
    </row>
    <row r="425" spans="1:12" x14ac:dyDescent="0.25">
      <c r="I425" s="7" t="s">
        <v>26</v>
      </c>
      <c r="J425" s="5">
        <v>80000</v>
      </c>
    </row>
    <row r="426" spans="1:12" x14ac:dyDescent="0.25">
      <c r="I426" s="7" t="s">
        <v>256</v>
      </c>
      <c r="J426" s="5">
        <v>30000</v>
      </c>
    </row>
    <row r="428" spans="1:12" x14ac:dyDescent="0.25">
      <c r="I428" s="7" t="s">
        <v>20</v>
      </c>
      <c r="J428" s="5">
        <f>SUM(J423:J427)</f>
        <v>356000</v>
      </c>
    </row>
    <row r="430" spans="1:12" x14ac:dyDescent="0.25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2" t="s">
        <v>5</v>
      </c>
      <c r="G430" s="3" t="s">
        <v>6</v>
      </c>
      <c r="H430" s="3" t="s">
        <v>7</v>
      </c>
      <c r="I430" s="6" t="s">
        <v>8</v>
      </c>
      <c r="J430" s="2" t="s">
        <v>9</v>
      </c>
      <c r="K430" s="3" t="s">
        <v>10</v>
      </c>
      <c r="L430" s="2" t="s">
        <v>9</v>
      </c>
    </row>
    <row r="431" spans="1:12" x14ac:dyDescent="0.25">
      <c r="A431" s="4">
        <v>45798</v>
      </c>
      <c r="B431" t="s">
        <v>257</v>
      </c>
      <c r="C431" t="s">
        <v>258</v>
      </c>
      <c r="F431" s="5">
        <v>37137</v>
      </c>
      <c r="G431" t="s">
        <v>259</v>
      </c>
      <c r="I431" s="7" t="s">
        <v>260</v>
      </c>
      <c r="J431" s="5">
        <v>140000</v>
      </c>
    </row>
    <row r="433" spans="1:12" x14ac:dyDescent="0.25">
      <c r="I433" s="7" t="s">
        <v>20</v>
      </c>
      <c r="J433" s="5">
        <v>140000</v>
      </c>
    </row>
    <row r="435" spans="1:12" x14ac:dyDescent="0.25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2" t="s">
        <v>5</v>
      </c>
      <c r="G435" s="3" t="s">
        <v>6</v>
      </c>
      <c r="H435" s="3" t="s">
        <v>7</v>
      </c>
      <c r="I435" s="6" t="s">
        <v>8</v>
      </c>
      <c r="J435" s="2" t="s">
        <v>9</v>
      </c>
      <c r="K435" s="3" t="s">
        <v>10</v>
      </c>
      <c r="L435" s="2" t="s">
        <v>9</v>
      </c>
    </row>
    <row r="436" spans="1:12" x14ac:dyDescent="0.25">
      <c r="A436" s="4">
        <v>45799</v>
      </c>
      <c r="B436" t="s">
        <v>89</v>
      </c>
      <c r="D436" t="s">
        <v>53</v>
      </c>
      <c r="G436" t="s">
        <v>261</v>
      </c>
      <c r="I436" s="7" t="s">
        <v>244</v>
      </c>
    </row>
    <row r="437" spans="1:12" x14ac:dyDescent="0.25">
      <c r="I437" s="7" t="s">
        <v>262</v>
      </c>
      <c r="J437" s="5">
        <v>180000</v>
      </c>
    </row>
    <row r="439" spans="1:12" x14ac:dyDescent="0.25">
      <c r="I439" s="7" t="s">
        <v>20</v>
      </c>
      <c r="J439" s="5">
        <v>180000</v>
      </c>
    </row>
    <row r="441" spans="1:12" x14ac:dyDescent="0.25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2" t="s">
        <v>5</v>
      </c>
      <c r="G441" s="3" t="s">
        <v>6</v>
      </c>
      <c r="H441" s="3" t="s">
        <v>7</v>
      </c>
      <c r="I441" s="6" t="s">
        <v>8</v>
      </c>
      <c r="J441" s="2" t="s">
        <v>9</v>
      </c>
      <c r="K441" s="3" t="s">
        <v>10</v>
      </c>
      <c r="L441" s="2" t="s">
        <v>9</v>
      </c>
    </row>
    <row r="442" spans="1:12" x14ac:dyDescent="0.25">
      <c r="A442" s="4">
        <v>45799</v>
      </c>
      <c r="B442" t="s">
        <v>21</v>
      </c>
      <c r="C442" t="s">
        <v>263</v>
      </c>
      <c r="D442" t="s">
        <v>153</v>
      </c>
      <c r="F442" s="5">
        <v>78172</v>
      </c>
      <c r="G442" t="s">
        <v>264</v>
      </c>
      <c r="I442" s="7" t="s">
        <v>265</v>
      </c>
      <c r="J442" s="5">
        <v>47600</v>
      </c>
    </row>
    <row r="443" spans="1:12" x14ac:dyDescent="0.25">
      <c r="I443" s="7" t="s">
        <v>266</v>
      </c>
      <c r="J443" s="5">
        <v>333300</v>
      </c>
    </row>
    <row r="444" spans="1:12" x14ac:dyDescent="0.25">
      <c r="I444" s="7" t="s">
        <v>267</v>
      </c>
      <c r="J444" s="5">
        <v>745000</v>
      </c>
    </row>
    <row r="446" spans="1:12" x14ac:dyDescent="0.25">
      <c r="I446" s="7" t="s">
        <v>20</v>
      </c>
      <c r="J446" s="5">
        <f>SUM(J442:J445)</f>
        <v>1125900</v>
      </c>
    </row>
    <row r="448" spans="1:12" x14ac:dyDescent="0.25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4</v>
      </c>
      <c r="F448" s="2" t="s">
        <v>5</v>
      </c>
      <c r="G448" s="3" t="s">
        <v>6</v>
      </c>
      <c r="H448" s="3" t="s">
        <v>7</v>
      </c>
      <c r="I448" s="6" t="s">
        <v>8</v>
      </c>
      <c r="J448" s="2" t="s">
        <v>9</v>
      </c>
      <c r="K448" s="3" t="s">
        <v>10</v>
      </c>
      <c r="L448" s="2" t="s">
        <v>9</v>
      </c>
    </row>
    <row r="449" spans="1:12" x14ac:dyDescent="0.25">
      <c r="A449" s="4">
        <v>45799</v>
      </c>
      <c r="B449" t="s">
        <v>268</v>
      </c>
      <c r="C449" t="s">
        <v>269</v>
      </c>
      <c r="D449" t="s">
        <v>84</v>
      </c>
      <c r="E449">
        <v>2014</v>
      </c>
      <c r="G449" t="s">
        <v>270</v>
      </c>
      <c r="H449">
        <v>3012292577</v>
      </c>
      <c r="I449" s="7" t="s">
        <v>271</v>
      </c>
      <c r="J449" s="5">
        <v>80000</v>
      </c>
    </row>
    <row r="450" spans="1:12" x14ac:dyDescent="0.25">
      <c r="I450" s="7" t="s">
        <v>272</v>
      </c>
      <c r="J450" s="5">
        <v>80000</v>
      </c>
    </row>
    <row r="451" spans="1:12" x14ac:dyDescent="0.25">
      <c r="I451" s="7" t="s">
        <v>114</v>
      </c>
    </row>
    <row r="452" spans="1:12" x14ac:dyDescent="0.25">
      <c r="I452" s="7" t="s">
        <v>273</v>
      </c>
      <c r="J452" s="5">
        <v>10000</v>
      </c>
    </row>
    <row r="453" spans="1:12" x14ac:dyDescent="0.25">
      <c r="I453" s="7" t="s">
        <v>274</v>
      </c>
      <c r="J453" s="5">
        <v>80000</v>
      </c>
    </row>
    <row r="455" spans="1:12" x14ac:dyDescent="0.25">
      <c r="I455" s="7" t="s">
        <v>20</v>
      </c>
      <c r="J455" s="5">
        <f>SUM(J449:J454)</f>
        <v>250000</v>
      </c>
    </row>
    <row r="457" spans="1:12" x14ac:dyDescent="0.25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4</v>
      </c>
      <c r="F457" s="2" t="s">
        <v>5</v>
      </c>
      <c r="G457" s="3" t="s">
        <v>6</v>
      </c>
      <c r="H457" s="3" t="s">
        <v>7</v>
      </c>
      <c r="I457" s="6" t="s">
        <v>8</v>
      </c>
      <c r="J457" s="2" t="s">
        <v>9</v>
      </c>
      <c r="K457" s="3" t="s">
        <v>10</v>
      </c>
      <c r="L457" s="2" t="s">
        <v>9</v>
      </c>
    </row>
    <row r="458" spans="1:12" x14ac:dyDescent="0.25">
      <c r="A458" s="4">
        <v>45799</v>
      </c>
      <c r="B458" t="s">
        <v>275</v>
      </c>
      <c r="C458" t="s">
        <v>276</v>
      </c>
      <c r="D458" t="s">
        <v>84</v>
      </c>
      <c r="E458">
        <v>2018</v>
      </c>
      <c r="F458" s="5">
        <v>32717</v>
      </c>
      <c r="G458" t="s">
        <v>277</v>
      </c>
      <c r="H458">
        <v>3165121819</v>
      </c>
      <c r="I458" s="7" t="s">
        <v>16</v>
      </c>
      <c r="J458" s="5">
        <v>320000</v>
      </c>
    </row>
    <row r="459" spans="1:12" x14ac:dyDescent="0.25">
      <c r="I459" s="7" t="s">
        <v>278</v>
      </c>
      <c r="J459" s="5">
        <v>120000</v>
      </c>
    </row>
    <row r="460" spans="1:12" x14ac:dyDescent="0.25">
      <c r="I460" s="7" t="s">
        <v>279</v>
      </c>
      <c r="J460" s="5">
        <v>40000</v>
      </c>
    </row>
    <row r="461" spans="1:12" x14ac:dyDescent="0.25">
      <c r="I461" s="7" t="s">
        <v>77</v>
      </c>
      <c r="J461" s="5">
        <v>22000</v>
      </c>
    </row>
    <row r="462" spans="1:12" x14ac:dyDescent="0.25">
      <c r="I462" s="7" t="s">
        <v>48</v>
      </c>
      <c r="J462" s="5">
        <v>35000</v>
      </c>
    </row>
    <row r="463" spans="1:12" x14ac:dyDescent="0.25">
      <c r="I463" s="7" t="s">
        <v>280</v>
      </c>
      <c r="J463" s="5">
        <v>80000</v>
      </c>
    </row>
    <row r="465" spans="1:12" x14ac:dyDescent="0.25">
      <c r="I465" s="7" t="s">
        <v>20</v>
      </c>
      <c r="J465" s="5">
        <f>SUM(J458:J464)</f>
        <v>617000</v>
      </c>
    </row>
    <row r="467" spans="1:12" x14ac:dyDescent="0.25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4</v>
      </c>
      <c r="F467" s="2" t="s">
        <v>5</v>
      </c>
      <c r="G467" s="3" t="s">
        <v>6</v>
      </c>
      <c r="H467" s="3" t="s">
        <v>7</v>
      </c>
      <c r="I467" s="6" t="s">
        <v>8</v>
      </c>
      <c r="J467" s="2" t="s">
        <v>9</v>
      </c>
      <c r="K467" s="3" t="s">
        <v>10</v>
      </c>
      <c r="L467" s="2" t="s">
        <v>9</v>
      </c>
    </row>
    <row r="468" spans="1:12" x14ac:dyDescent="0.25">
      <c r="A468" s="4">
        <v>45801</v>
      </c>
      <c r="B468" t="s">
        <v>21</v>
      </c>
      <c r="C468" t="s">
        <v>287</v>
      </c>
      <c r="D468" t="s">
        <v>23</v>
      </c>
      <c r="E468">
        <v>2011</v>
      </c>
      <c r="F468" s="5">
        <v>57979</v>
      </c>
      <c r="G468" t="s">
        <v>288</v>
      </c>
      <c r="H468">
        <v>3125727822</v>
      </c>
      <c r="I468" s="7" t="s">
        <v>291</v>
      </c>
      <c r="J468" s="5">
        <v>200000</v>
      </c>
    </row>
    <row r="469" spans="1:12" x14ac:dyDescent="0.25">
      <c r="I469" s="7" t="s">
        <v>18</v>
      </c>
      <c r="J469" s="5">
        <v>46000</v>
      </c>
    </row>
    <row r="470" spans="1:12" x14ac:dyDescent="0.25">
      <c r="I470" s="7" t="s">
        <v>289</v>
      </c>
      <c r="J470" s="5">
        <v>80000</v>
      </c>
    </row>
    <row r="471" spans="1:12" x14ac:dyDescent="0.25">
      <c r="I471" s="7" t="s">
        <v>290</v>
      </c>
    </row>
    <row r="473" spans="1:12" x14ac:dyDescent="0.25">
      <c r="I473" s="7" t="s">
        <v>20</v>
      </c>
      <c r="J473" s="5">
        <f>SUM(J468:J472)</f>
        <v>326000</v>
      </c>
    </row>
    <row r="475" spans="1:12" x14ac:dyDescent="0.25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2" t="s">
        <v>5</v>
      </c>
      <c r="G475" s="3" t="s">
        <v>6</v>
      </c>
      <c r="H475" s="3" t="s">
        <v>7</v>
      </c>
      <c r="I475" s="6" t="s">
        <v>8</v>
      </c>
      <c r="J475" s="2" t="s">
        <v>9</v>
      </c>
      <c r="K475" s="3" t="s">
        <v>10</v>
      </c>
      <c r="L475" s="2" t="s">
        <v>9</v>
      </c>
    </row>
    <row r="476" spans="1:12" x14ac:dyDescent="0.25">
      <c r="A476" s="4">
        <v>45801</v>
      </c>
      <c r="B476" t="s">
        <v>292</v>
      </c>
      <c r="C476" t="s">
        <v>293</v>
      </c>
      <c r="D476" t="s">
        <v>13</v>
      </c>
      <c r="I476" s="7" t="s">
        <v>294</v>
      </c>
    </row>
    <row r="477" spans="1:12" x14ac:dyDescent="0.25">
      <c r="I477" s="7" t="s">
        <v>169</v>
      </c>
    </row>
    <row r="479" spans="1:12" x14ac:dyDescent="0.25">
      <c r="I479" s="7" t="s">
        <v>20</v>
      </c>
      <c r="J479" s="5">
        <v>115000</v>
      </c>
    </row>
    <row r="481" spans="1:12" x14ac:dyDescent="0.25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4</v>
      </c>
      <c r="F481" s="2" t="s">
        <v>5</v>
      </c>
      <c r="G481" s="3" t="s">
        <v>6</v>
      </c>
      <c r="H481" s="3" t="s">
        <v>7</v>
      </c>
      <c r="I481" s="6" t="s">
        <v>8</v>
      </c>
      <c r="J481" s="2" t="s">
        <v>9</v>
      </c>
      <c r="K481" s="3" t="s">
        <v>10</v>
      </c>
      <c r="L481" s="2" t="s">
        <v>9</v>
      </c>
    </row>
    <row r="482" spans="1:12" x14ac:dyDescent="0.25">
      <c r="A482" s="4">
        <v>45801</v>
      </c>
      <c r="B482" t="s">
        <v>21</v>
      </c>
      <c r="C482" t="s">
        <v>295</v>
      </c>
      <c r="D482" t="s">
        <v>23</v>
      </c>
      <c r="E482">
        <v>2010</v>
      </c>
      <c r="F482" s="5">
        <v>127180</v>
      </c>
      <c r="G482" t="s">
        <v>296</v>
      </c>
      <c r="I482" s="7" t="s">
        <v>17</v>
      </c>
      <c r="J482" s="5">
        <v>160000</v>
      </c>
    </row>
    <row r="483" spans="1:12" x14ac:dyDescent="0.25">
      <c r="I483" s="7" t="s">
        <v>18</v>
      </c>
      <c r="J483" s="5">
        <v>46000</v>
      </c>
    </row>
    <row r="484" spans="1:12" x14ac:dyDescent="0.25">
      <c r="I484" s="7" t="s">
        <v>48</v>
      </c>
      <c r="J484" s="5">
        <v>120000</v>
      </c>
    </row>
    <row r="485" spans="1:12" x14ac:dyDescent="0.25">
      <c r="I485" s="7" t="s">
        <v>297</v>
      </c>
      <c r="J485" s="5">
        <v>150000</v>
      </c>
    </row>
    <row r="486" spans="1:12" x14ac:dyDescent="0.25">
      <c r="I486" s="7" t="s">
        <v>298</v>
      </c>
      <c r="J486" s="5">
        <v>435000</v>
      </c>
    </row>
    <row r="487" spans="1:12" x14ac:dyDescent="0.25">
      <c r="I487" s="7" t="s">
        <v>299</v>
      </c>
      <c r="J487" s="5">
        <v>40000</v>
      </c>
    </row>
    <row r="488" spans="1:12" x14ac:dyDescent="0.25">
      <c r="I488" s="7" t="s">
        <v>100</v>
      </c>
      <c r="J488" s="5">
        <v>40000</v>
      </c>
    </row>
    <row r="490" spans="1:12" x14ac:dyDescent="0.25">
      <c r="I490" s="7" t="s">
        <v>20</v>
      </c>
      <c r="J490" s="5">
        <f>SUM(J482:J489)</f>
        <v>991000</v>
      </c>
    </row>
    <row r="492" spans="1:12" x14ac:dyDescent="0.25">
      <c r="A492" s="1" t="s">
        <v>0</v>
      </c>
      <c r="B492" s="1" t="s">
        <v>1</v>
      </c>
      <c r="C492" s="1" t="s">
        <v>2</v>
      </c>
      <c r="D492" s="1" t="s">
        <v>3</v>
      </c>
      <c r="E492" s="1" t="s">
        <v>4</v>
      </c>
      <c r="F492" s="2" t="s">
        <v>5</v>
      </c>
      <c r="G492" s="3" t="s">
        <v>6</v>
      </c>
      <c r="H492" s="3" t="s">
        <v>7</v>
      </c>
      <c r="I492" s="6" t="s">
        <v>8</v>
      </c>
      <c r="J492" s="2" t="s">
        <v>9</v>
      </c>
      <c r="K492" s="3" t="s">
        <v>10</v>
      </c>
      <c r="L492" s="2" t="s">
        <v>9</v>
      </c>
    </row>
    <row r="493" spans="1:12" x14ac:dyDescent="0.25">
      <c r="A493" s="4">
        <v>45804</v>
      </c>
      <c r="B493" t="s">
        <v>82</v>
      </c>
      <c r="C493" t="s">
        <v>300</v>
      </c>
      <c r="D493" t="s">
        <v>84</v>
      </c>
      <c r="F493" s="5">
        <v>20754</v>
      </c>
      <c r="G493" t="s">
        <v>301</v>
      </c>
      <c r="I493" s="7" t="s">
        <v>302</v>
      </c>
      <c r="J493" s="5">
        <v>180000</v>
      </c>
    </row>
    <row r="494" spans="1:12" x14ac:dyDescent="0.25">
      <c r="I494" s="7" t="s">
        <v>100</v>
      </c>
      <c r="J494" s="5">
        <v>60000</v>
      </c>
    </row>
    <row r="495" spans="1:12" x14ac:dyDescent="0.25">
      <c r="I495" s="7" t="s">
        <v>70</v>
      </c>
      <c r="J495" s="5">
        <v>60000</v>
      </c>
    </row>
    <row r="496" spans="1:12" x14ac:dyDescent="0.25">
      <c r="I496" s="7" t="s">
        <v>18</v>
      </c>
      <c r="J496" s="5">
        <v>18000</v>
      </c>
    </row>
    <row r="497" spans="1:12" x14ac:dyDescent="0.25">
      <c r="I497" s="7" t="s">
        <v>26</v>
      </c>
      <c r="J497" s="5">
        <v>35000</v>
      </c>
    </row>
    <row r="498" spans="1:12" x14ac:dyDescent="0.25">
      <c r="I498" s="7" t="s">
        <v>77</v>
      </c>
      <c r="J498" s="5">
        <v>22000</v>
      </c>
    </row>
    <row r="499" spans="1:12" x14ac:dyDescent="0.25">
      <c r="I499" s="7" t="s">
        <v>303</v>
      </c>
      <c r="J499" s="5">
        <v>10000</v>
      </c>
    </row>
    <row r="501" spans="1:12" x14ac:dyDescent="0.25">
      <c r="I501" s="7" t="s">
        <v>20</v>
      </c>
      <c r="J501" s="5">
        <f>SUM(J493:J500)</f>
        <v>385000</v>
      </c>
    </row>
    <row r="503" spans="1:12" x14ac:dyDescent="0.25">
      <c r="A503" s="1" t="s">
        <v>0</v>
      </c>
      <c r="B503" s="1" t="s">
        <v>1</v>
      </c>
      <c r="C503" s="1" t="s">
        <v>2</v>
      </c>
      <c r="D503" s="1" t="s">
        <v>3</v>
      </c>
      <c r="E503" s="1" t="s">
        <v>4</v>
      </c>
      <c r="F503" s="2" t="s">
        <v>5</v>
      </c>
      <c r="G503" s="3" t="s">
        <v>6</v>
      </c>
      <c r="H503" s="3" t="s">
        <v>7</v>
      </c>
      <c r="I503" s="6" t="s">
        <v>8</v>
      </c>
      <c r="J503" s="2" t="s">
        <v>9</v>
      </c>
      <c r="K503" s="3" t="s">
        <v>10</v>
      </c>
      <c r="L503" s="2" t="s">
        <v>9</v>
      </c>
    </row>
    <row r="504" spans="1:12" x14ac:dyDescent="0.25">
      <c r="A504" s="4">
        <v>45804</v>
      </c>
      <c r="B504" t="s">
        <v>912</v>
      </c>
      <c r="C504" t="s">
        <v>913</v>
      </c>
      <c r="F504" s="5">
        <v>28545</v>
      </c>
      <c r="I504" s="7" t="s">
        <v>914</v>
      </c>
    </row>
    <row r="505" spans="1:12" x14ac:dyDescent="0.25">
      <c r="I505" s="7" t="s">
        <v>915</v>
      </c>
    </row>
    <row r="506" spans="1:12" x14ac:dyDescent="0.25">
      <c r="I506" s="7" t="s">
        <v>916</v>
      </c>
    </row>
    <row r="507" spans="1:12" x14ac:dyDescent="0.25">
      <c r="I507" s="7" t="s">
        <v>917</v>
      </c>
    </row>
    <row r="509" spans="1:12" x14ac:dyDescent="0.25">
      <c r="I509" s="7" t="s">
        <v>20</v>
      </c>
    </row>
    <row r="511" spans="1:12" x14ac:dyDescent="0.25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2" t="s">
        <v>5</v>
      </c>
      <c r="G511" s="3" t="s">
        <v>6</v>
      </c>
      <c r="H511" s="3" t="s">
        <v>7</v>
      </c>
      <c r="I511" s="6" t="s">
        <v>8</v>
      </c>
      <c r="J511" s="2" t="s">
        <v>9</v>
      </c>
      <c r="K511" s="3" t="s">
        <v>10</v>
      </c>
      <c r="L511" s="2" t="s">
        <v>9</v>
      </c>
    </row>
    <row r="512" spans="1:12" x14ac:dyDescent="0.25">
      <c r="A512" s="4">
        <v>45805</v>
      </c>
      <c r="B512" t="s">
        <v>304</v>
      </c>
      <c r="C512" t="s">
        <v>305</v>
      </c>
      <c r="D512" t="s">
        <v>23</v>
      </c>
      <c r="E512">
        <v>2022</v>
      </c>
      <c r="F512" s="5">
        <v>64557</v>
      </c>
      <c r="G512" t="s">
        <v>306</v>
      </c>
      <c r="H512">
        <v>3506179057</v>
      </c>
      <c r="I512" s="7" t="s">
        <v>226</v>
      </c>
      <c r="J512" s="5">
        <v>250000</v>
      </c>
    </row>
    <row r="513" spans="1:12" x14ac:dyDescent="0.25">
      <c r="I513" s="7" t="s">
        <v>307</v>
      </c>
      <c r="J513" s="5">
        <v>88600</v>
      </c>
    </row>
    <row r="514" spans="1:12" x14ac:dyDescent="0.25">
      <c r="I514" s="7" t="s">
        <v>230</v>
      </c>
      <c r="J514" s="5">
        <v>13800</v>
      </c>
    </row>
    <row r="515" spans="1:12" x14ac:dyDescent="0.25">
      <c r="I515" s="7" t="s">
        <v>125</v>
      </c>
      <c r="J515" s="5">
        <v>40000</v>
      </c>
    </row>
    <row r="516" spans="1:12" x14ac:dyDescent="0.25">
      <c r="I516" s="7" t="s">
        <v>308</v>
      </c>
      <c r="J516" s="5">
        <v>87900</v>
      </c>
    </row>
    <row r="517" spans="1:12" x14ac:dyDescent="0.25">
      <c r="I517" s="7" t="s">
        <v>122</v>
      </c>
      <c r="J517" s="5">
        <v>250000</v>
      </c>
    </row>
    <row r="518" spans="1:12" x14ac:dyDescent="0.25">
      <c r="I518" s="7" t="s">
        <v>309</v>
      </c>
      <c r="J518" s="5">
        <v>40000</v>
      </c>
    </row>
    <row r="519" spans="1:12" x14ac:dyDescent="0.25">
      <c r="I519" s="7" t="s">
        <v>310</v>
      </c>
      <c r="J519" s="5">
        <v>30600</v>
      </c>
    </row>
    <row r="520" spans="1:12" x14ac:dyDescent="0.25">
      <c r="I520" s="7" t="s">
        <v>311</v>
      </c>
      <c r="J520" s="5">
        <v>70000</v>
      </c>
    </row>
    <row r="521" spans="1:12" x14ac:dyDescent="0.25">
      <c r="I521" s="7" t="s">
        <v>169</v>
      </c>
      <c r="J521" s="5">
        <v>35000</v>
      </c>
    </row>
    <row r="522" spans="1:12" x14ac:dyDescent="0.25">
      <c r="I522" s="7" t="s">
        <v>312</v>
      </c>
      <c r="J522" s="5">
        <v>42600</v>
      </c>
    </row>
    <row r="523" spans="1:12" x14ac:dyDescent="0.25">
      <c r="I523" s="7" t="s">
        <v>313</v>
      </c>
      <c r="J523" s="5">
        <v>197400</v>
      </c>
    </row>
    <row r="525" spans="1:12" x14ac:dyDescent="0.25">
      <c r="I525" s="7" t="s">
        <v>20</v>
      </c>
      <c r="J525" s="5">
        <f>SUM(J512:J524)</f>
        <v>1145900</v>
      </c>
    </row>
    <row r="527" spans="1:12" x14ac:dyDescent="0.25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2" t="s">
        <v>5</v>
      </c>
      <c r="G527" s="3" t="s">
        <v>6</v>
      </c>
      <c r="H527" s="3" t="s">
        <v>7</v>
      </c>
      <c r="I527" s="6" t="s">
        <v>8</v>
      </c>
      <c r="J527" s="2" t="s">
        <v>9</v>
      </c>
      <c r="K527" s="3" t="s">
        <v>10</v>
      </c>
      <c r="L527" s="2" t="s">
        <v>9</v>
      </c>
    </row>
    <row r="528" spans="1:12" x14ac:dyDescent="0.25">
      <c r="A528" s="4">
        <v>45805</v>
      </c>
      <c r="B528" t="s">
        <v>40</v>
      </c>
      <c r="C528" t="s">
        <v>482</v>
      </c>
      <c r="D528" t="s">
        <v>23</v>
      </c>
      <c r="E528">
        <v>2011</v>
      </c>
      <c r="F528" s="5">
        <v>144000</v>
      </c>
      <c r="G528" t="s">
        <v>483</v>
      </c>
      <c r="H528">
        <v>3204052150</v>
      </c>
      <c r="I528" s="7" t="s">
        <v>17</v>
      </c>
      <c r="J528" s="5">
        <v>160000</v>
      </c>
    </row>
    <row r="529" spans="1:12" x14ac:dyDescent="0.25">
      <c r="I529" s="7" t="s">
        <v>18</v>
      </c>
      <c r="J529" s="5">
        <v>46000</v>
      </c>
    </row>
    <row r="530" spans="1:12" x14ac:dyDescent="0.25">
      <c r="I530" s="7" t="s">
        <v>278</v>
      </c>
      <c r="J530" s="5">
        <v>80000</v>
      </c>
    </row>
    <row r="531" spans="1:12" x14ac:dyDescent="0.25">
      <c r="I531" s="7" t="s">
        <v>484</v>
      </c>
      <c r="J531" s="5">
        <v>40000</v>
      </c>
    </row>
    <row r="532" spans="1:12" x14ac:dyDescent="0.25">
      <c r="I532" s="7" t="s">
        <v>485</v>
      </c>
      <c r="J532" s="5">
        <v>20000</v>
      </c>
    </row>
    <row r="533" spans="1:12" x14ac:dyDescent="0.25">
      <c r="I533" s="7" t="s">
        <v>486</v>
      </c>
      <c r="J533" s="5">
        <v>10000</v>
      </c>
    </row>
    <row r="534" spans="1:12" x14ac:dyDescent="0.25">
      <c r="I534" s="7" t="s">
        <v>77</v>
      </c>
      <c r="J534" s="5">
        <v>22000</v>
      </c>
    </row>
    <row r="535" spans="1:12" x14ac:dyDescent="0.25">
      <c r="I535" s="7" t="s">
        <v>487</v>
      </c>
      <c r="J535" s="5">
        <v>50000</v>
      </c>
    </row>
    <row r="536" spans="1:12" x14ac:dyDescent="0.25">
      <c r="I536" s="7" t="s">
        <v>488</v>
      </c>
      <c r="J536" s="5">
        <v>80000</v>
      </c>
    </row>
    <row r="537" spans="1:12" x14ac:dyDescent="0.25">
      <c r="I537" s="7" t="s">
        <v>141</v>
      </c>
      <c r="J537" s="5">
        <v>80000</v>
      </c>
    </row>
    <row r="538" spans="1:12" x14ac:dyDescent="0.25">
      <c r="I538" s="7" t="s">
        <v>489</v>
      </c>
      <c r="J538" s="5">
        <v>4000</v>
      </c>
    </row>
    <row r="540" spans="1:12" x14ac:dyDescent="0.25">
      <c r="I540" s="7" t="s">
        <v>20</v>
      </c>
      <c r="J540" s="5">
        <f>SUM(J528:J539)</f>
        <v>592000</v>
      </c>
    </row>
    <row r="542" spans="1:12" x14ac:dyDescent="0.25">
      <c r="A542" s="1" t="s">
        <v>0</v>
      </c>
      <c r="B542" s="1" t="s">
        <v>1</v>
      </c>
      <c r="C542" s="1" t="s">
        <v>2</v>
      </c>
      <c r="D542" s="1" t="s">
        <v>3</v>
      </c>
      <c r="E542" s="1" t="s">
        <v>4</v>
      </c>
      <c r="F542" s="2" t="s">
        <v>5</v>
      </c>
      <c r="G542" s="3" t="s">
        <v>6</v>
      </c>
      <c r="H542" s="3" t="s">
        <v>7</v>
      </c>
      <c r="I542" s="6" t="s">
        <v>8</v>
      </c>
      <c r="J542" s="2" t="s">
        <v>9</v>
      </c>
      <c r="K542" s="3" t="s">
        <v>10</v>
      </c>
      <c r="L542" s="2" t="s">
        <v>9</v>
      </c>
    </row>
    <row r="543" spans="1:12" x14ac:dyDescent="0.25">
      <c r="A543" s="4">
        <v>45805</v>
      </c>
      <c r="B543" t="s">
        <v>314</v>
      </c>
      <c r="C543" t="s">
        <v>315</v>
      </c>
      <c r="D543" t="s">
        <v>153</v>
      </c>
      <c r="E543">
        <v>2014</v>
      </c>
      <c r="G543" t="s">
        <v>316</v>
      </c>
      <c r="H543">
        <v>3206839538</v>
      </c>
      <c r="I543" s="7" t="s">
        <v>317</v>
      </c>
      <c r="J543" s="5">
        <v>60000</v>
      </c>
    </row>
    <row r="544" spans="1:12" x14ac:dyDescent="0.25">
      <c r="I544" s="7" t="s">
        <v>318</v>
      </c>
      <c r="J544" s="5">
        <v>75000</v>
      </c>
    </row>
    <row r="545" spans="1:12" x14ac:dyDescent="0.25">
      <c r="I545" s="7" t="s">
        <v>77</v>
      </c>
      <c r="J545" s="5">
        <v>22000</v>
      </c>
    </row>
    <row r="546" spans="1:12" x14ac:dyDescent="0.25">
      <c r="I546" s="7" t="s">
        <v>319</v>
      </c>
      <c r="J546" s="5">
        <v>180000</v>
      </c>
    </row>
    <row r="548" spans="1:12" x14ac:dyDescent="0.25">
      <c r="I548" s="7" t="s">
        <v>20</v>
      </c>
      <c r="J548" s="5">
        <f>SUM(J543:J547)</f>
        <v>337000</v>
      </c>
    </row>
    <row r="550" spans="1:12" x14ac:dyDescent="0.25">
      <c r="A550" s="1" t="s">
        <v>0</v>
      </c>
      <c r="B550" s="1" t="s">
        <v>1</v>
      </c>
      <c r="C550" s="1" t="s">
        <v>2</v>
      </c>
      <c r="D550" s="1" t="s">
        <v>3</v>
      </c>
      <c r="E550" s="1" t="s">
        <v>4</v>
      </c>
      <c r="F550" s="2" t="s">
        <v>5</v>
      </c>
      <c r="G550" s="3" t="s">
        <v>6</v>
      </c>
      <c r="H550" s="3" t="s">
        <v>7</v>
      </c>
      <c r="I550" s="6" t="s">
        <v>8</v>
      </c>
      <c r="J550" s="2" t="s">
        <v>9</v>
      </c>
      <c r="K550" s="3" t="s">
        <v>10</v>
      </c>
      <c r="L550" s="2" t="s">
        <v>9</v>
      </c>
    </row>
    <row r="551" spans="1:12" x14ac:dyDescent="0.25">
      <c r="A551" s="4">
        <v>45805</v>
      </c>
      <c r="B551" t="s">
        <v>320</v>
      </c>
      <c r="C551" t="s">
        <v>321</v>
      </c>
      <c r="D551" t="s">
        <v>322</v>
      </c>
      <c r="F551" s="5">
        <v>11649</v>
      </c>
      <c r="I551" s="7" t="s">
        <v>323</v>
      </c>
      <c r="J551" s="5">
        <v>12000</v>
      </c>
    </row>
    <row r="552" spans="1:12" x14ac:dyDescent="0.25">
      <c r="I552" s="7" t="s">
        <v>324</v>
      </c>
      <c r="J552" s="5">
        <v>160000</v>
      </c>
    </row>
    <row r="553" spans="1:12" x14ac:dyDescent="0.25">
      <c r="I553" s="7" t="s">
        <v>100</v>
      </c>
      <c r="J553" s="5">
        <v>80000</v>
      </c>
    </row>
    <row r="555" spans="1:12" x14ac:dyDescent="0.25">
      <c r="I555" s="7" t="s">
        <v>20</v>
      </c>
      <c r="J555" s="5">
        <f>SUM(J551:J554)</f>
        <v>252000</v>
      </c>
    </row>
    <row r="557" spans="1:12" x14ac:dyDescent="0.25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2" t="s">
        <v>5</v>
      </c>
      <c r="G557" s="3" t="s">
        <v>6</v>
      </c>
      <c r="H557" s="3" t="s">
        <v>7</v>
      </c>
      <c r="I557" s="6" t="s">
        <v>8</v>
      </c>
      <c r="J557" s="2" t="s">
        <v>9</v>
      </c>
      <c r="K557" s="3" t="s">
        <v>10</v>
      </c>
      <c r="L557" s="2" t="s">
        <v>9</v>
      </c>
    </row>
    <row r="558" spans="1:12" x14ac:dyDescent="0.25">
      <c r="A558" s="4">
        <v>45805</v>
      </c>
      <c r="B558" t="s">
        <v>335</v>
      </c>
      <c r="C558" t="s">
        <v>336</v>
      </c>
      <c r="D558" t="s">
        <v>84</v>
      </c>
      <c r="E558">
        <v>2016</v>
      </c>
      <c r="G558" t="s">
        <v>337</v>
      </c>
      <c r="H558">
        <v>3134672488</v>
      </c>
      <c r="I558" s="7" t="s">
        <v>15</v>
      </c>
    </row>
    <row r="559" spans="1:12" x14ac:dyDescent="0.25">
      <c r="I559" s="7" t="s">
        <v>100</v>
      </c>
    </row>
    <row r="561" spans="1:12" x14ac:dyDescent="0.25">
      <c r="I561" s="7" t="s">
        <v>20</v>
      </c>
      <c r="J561" s="5">
        <v>350000</v>
      </c>
    </row>
    <row r="563" spans="1:12" x14ac:dyDescent="0.25">
      <c r="A563" s="1" t="s">
        <v>0</v>
      </c>
      <c r="B563" s="1" t="s">
        <v>1</v>
      </c>
      <c r="C563" s="1" t="s">
        <v>2</v>
      </c>
      <c r="D563" s="1" t="s">
        <v>3</v>
      </c>
      <c r="E563" s="1" t="s">
        <v>4</v>
      </c>
      <c r="F563" s="2" t="s">
        <v>5</v>
      </c>
      <c r="G563" s="3" t="s">
        <v>6</v>
      </c>
      <c r="H563" s="3" t="s">
        <v>7</v>
      </c>
      <c r="I563" s="6" t="s">
        <v>8</v>
      </c>
      <c r="J563" s="2" t="s">
        <v>9</v>
      </c>
      <c r="K563" s="3" t="s">
        <v>10</v>
      </c>
      <c r="L563" s="2" t="s">
        <v>9</v>
      </c>
    </row>
    <row r="564" spans="1:12" x14ac:dyDescent="0.25">
      <c r="A564" s="4">
        <v>45806</v>
      </c>
      <c r="B564" t="s">
        <v>21</v>
      </c>
      <c r="C564" t="s">
        <v>325</v>
      </c>
      <c r="D564" t="s">
        <v>29</v>
      </c>
      <c r="G564" t="s">
        <v>326</v>
      </c>
      <c r="I564" s="7" t="s">
        <v>25</v>
      </c>
      <c r="J564" s="5">
        <v>240000</v>
      </c>
    </row>
    <row r="565" spans="1:12" x14ac:dyDescent="0.25">
      <c r="I565" s="7" t="s">
        <v>26</v>
      </c>
      <c r="J565" s="5">
        <v>120000</v>
      </c>
    </row>
    <row r="566" spans="1:12" x14ac:dyDescent="0.25">
      <c r="I566" s="7" t="s">
        <v>327</v>
      </c>
    </row>
    <row r="567" spans="1:12" x14ac:dyDescent="0.25">
      <c r="I567" s="7" t="s">
        <v>150</v>
      </c>
      <c r="J567" s="5">
        <v>150000</v>
      </c>
    </row>
    <row r="568" spans="1:12" x14ac:dyDescent="0.25">
      <c r="I568" s="7" t="s">
        <v>328</v>
      </c>
      <c r="J568" s="5">
        <v>50000</v>
      </c>
    </row>
    <row r="570" spans="1:12" x14ac:dyDescent="0.25">
      <c r="I570" s="7" t="s">
        <v>20</v>
      </c>
      <c r="J570" s="5">
        <f>SUM(J564:J569)</f>
        <v>560000</v>
      </c>
    </row>
    <row r="572" spans="1:12" x14ac:dyDescent="0.2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  <c r="F572" s="2" t="s">
        <v>5</v>
      </c>
      <c r="G572" s="3" t="s">
        <v>6</v>
      </c>
      <c r="H572" s="3" t="s">
        <v>7</v>
      </c>
      <c r="I572" s="6" t="s">
        <v>8</v>
      </c>
      <c r="J572" s="2" t="s">
        <v>9</v>
      </c>
      <c r="K572" s="3" t="s">
        <v>10</v>
      </c>
      <c r="L572" s="2" t="s">
        <v>9</v>
      </c>
    </row>
    <row r="573" spans="1:12" x14ac:dyDescent="0.25">
      <c r="A573" s="4">
        <v>45806</v>
      </c>
      <c r="B573" t="s">
        <v>329</v>
      </c>
      <c r="C573" t="s">
        <v>330</v>
      </c>
      <c r="D573" t="s">
        <v>322</v>
      </c>
      <c r="F573" s="5">
        <v>43425</v>
      </c>
      <c r="G573" t="s">
        <v>331</v>
      </c>
      <c r="I573" s="7" t="s">
        <v>332</v>
      </c>
      <c r="J573" s="5">
        <v>15000</v>
      </c>
    </row>
    <row r="574" spans="1:12" x14ac:dyDescent="0.25">
      <c r="I574" s="7" t="s">
        <v>333</v>
      </c>
      <c r="J574" s="5">
        <v>53000</v>
      </c>
    </row>
    <row r="575" spans="1:12" x14ac:dyDescent="0.25">
      <c r="I575" s="7" t="s">
        <v>334</v>
      </c>
      <c r="J575" s="5">
        <v>80000</v>
      </c>
    </row>
    <row r="577" spans="1:12" x14ac:dyDescent="0.25">
      <c r="I577" s="7" t="s">
        <v>20</v>
      </c>
      <c r="J577" s="5">
        <f>SUM(J573:J576)</f>
        <v>148000</v>
      </c>
    </row>
    <row r="579" spans="1:12" x14ac:dyDescent="0.25">
      <c r="A579" s="1" t="s">
        <v>0</v>
      </c>
      <c r="B579" s="1" t="s">
        <v>1</v>
      </c>
      <c r="C579" s="1" t="s">
        <v>2</v>
      </c>
      <c r="D579" s="1" t="s">
        <v>3</v>
      </c>
      <c r="E579" s="1" t="s">
        <v>4</v>
      </c>
      <c r="F579" s="2" t="s">
        <v>5</v>
      </c>
      <c r="G579" s="3" t="s">
        <v>6</v>
      </c>
      <c r="H579" s="3" t="s">
        <v>7</v>
      </c>
      <c r="I579" s="6" t="s">
        <v>8</v>
      </c>
      <c r="J579" s="2" t="s">
        <v>9</v>
      </c>
      <c r="K579" s="3" t="s">
        <v>10</v>
      </c>
      <c r="L579" s="2" t="s">
        <v>9</v>
      </c>
    </row>
    <row r="580" spans="1:12" x14ac:dyDescent="0.25">
      <c r="A580" s="4">
        <v>45808</v>
      </c>
      <c r="B580" t="s">
        <v>338</v>
      </c>
      <c r="D580" t="s">
        <v>84</v>
      </c>
      <c r="G580" t="s">
        <v>339</v>
      </c>
      <c r="I580" s="7" t="s">
        <v>340</v>
      </c>
      <c r="J580" s="5">
        <v>120000</v>
      </c>
    </row>
    <row r="581" spans="1:12" x14ac:dyDescent="0.25">
      <c r="I581" s="7" t="s">
        <v>341</v>
      </c>
      <c r="J581" s="5">
        <v>30000</v>
      </c>
    </row>
    <row r="582" spans="1:12" x14ac:dyDescent="0.25">
      <c r="I582" s="7" t="s">
        <v>342</v>
      </c>
      <c r="J582" s="5">
        <v>40000</v>
      </c>
    </row>
    <row r="583" spans="1:12" x14ac:dyDescent="0.25">
      <c r="I583" s="7" t="s">
        <v>343</v>
      </c>
      <c r="J583" s="5">
        <v>50000</v>
      </c>
    </row>
    <row r="584" spans="1:12" x14ac:dyDescent="0.25">
      <c r="I584" s="7" t="s">
        <v>344</v>
      </c>
      <c r="J584" s="5">
        <v>160000</v>
      </c>
    </row>
    <row r="585" spans="1:12" x14ac:dyDescent="0.25">
      <c r="I585" s="7" t="s">
        <v>100</v>
      </c>
      <c r="J585" s="5">
        <v>60000</v>
      </c>
    </row>
    <row r="586" spans="1:12" x14ac:dyDescent="0.25">
      <c r="I586" s="7" t="s">
        <v>345</v>
      </c>
      <c r="J586" s="5">
        <v>80000</v>
      </c>
    </row>
    <row r="588" spans="1:12" x14ac:dyDescent="0.25">
      <c r="I588" s="7" t="s">
        <v>20</v>
      </c>
      <c r="J588" s="5">
        <f>SUM(J580:J587)</f>
        <v>540000</v>
      </c>
    </row>
    <row r="590" spans="1:12" x14ac:dyDescent="0.25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4</v>
      </c>
      <c r="F590" s="2" t="s">
        <v>5</v>
      </c>
      <c r="G590" s="3" t="s">
        <v>6</v>
      </c>
      <c r="H590" s="3" t="s">
        <v>7</v>
      </c>
      <c r="I590" s="6" t="s">
        <v>8</v>
      </c>
      <c r="J590" s="2" t="s">
        <v>9</v>
      </c>
      <c r="K590" s="3" t="s">
        <v>10</v>
      </c>
      <c r="L590" s="2" t="s">
        <v>9</v>
      </c>
    </row>
    <row r="591" spans="1:12" x14ac:dyDescent="0.25">
      <c r="A591" s="4">
        <v>45808</v>
      </c>
      <c r="B591" t="s">
        <v>338</v>
      </c>
      <c r="D591" t="s">
        <v>84</v>
      </c>
      <c r="G591" t="s">
        <v>346</v>
      </c>
      <c r="I591" s="7" t="s">
        <v>347</v>
      </c>
      <c r="J591" s="5">
        <v>60000</v>
      </c>
    </row>
    <row r="592" spans="1:12" x14ac:dyDescent="0.25">
      <c r="I592" s="7" t="s">
        <v>343</v>
      </c>
      <c r="J592" s="5">
        <v>50000</v>
      </c>
    </row>
    <row r="593" spans="1:12" x14ac:dyDescent="0.25">
      <c r="I593" s="7" t="s">
        <v>342</v>
      </c>
      <c r="J593" s="5">
        <v>40000</v>
      </c>
    </row>
    <row r="594" spans="1:12" x14ac:dyDescent="0.25">
      <c r="I594" s="7" t="s">
        <v>312</v>
      </c>
      <c r="J594" s="5">
        <v>160000</v>
      </c>
    </row>
    <row r="595" spans="1:12" x14ac:dyDescent="0.25">
      <c r="I595" s="7" t="s">
        <v>348</v>
      </c>
      <c r="J595" s="5">
        <v>20000</v>
      </c>
    </row>
    <row r="596" spans="1:12" x14ac:dyDescent="0.25">
      <c r="I596" s="7" t="s">
        <v>349</v>
      </c>
      <c r="J596" s="5">
        <v>35000</v>
      </c>
    </row>
    <row r="597" spans="1:12" x14ac:dyDescent="0.25">
      <c r="I597" s="7" t="s">
        <v>100</v>
      </c>
      <c r="J597" s="5">
        <v>60000</v>
      </c>
    </row>
    <row r="599" spans="1:12" x14ac:dyDescent="0.25">
      <c r="I599" s="7" t="s">
        <v>20</v>
      </c>
      <c r="J599" s="5">
        <f>SUM(J591:J598)</f>
        <v>425000</v>
      </c>
    </row>
    <row r="601" spans="1:12" x14ac:dyDescent="0.25">
      <c r="A601" s="1" t="s">
        <v>0</v>
      </c>
      <c r="B601" s="1" t="s">
        <v>1</v>
      </c>
      <c r="C601" s="1" t="s">
        <v>2</v>
      </c>
      <c r="D601" s="1" t="s">
        <v>3</v>
      </c>
      <c r="E601" s="1" t="s">
        <v>4</v>
      </c>
      <c r="F601" s="2" t="s">
        <v>5</v>
      </c>
      <c r="G601" s="3" t="s">
        <v>6</v>
      </c>
      <c r="H601" s="3" t="s">
        <v>7</v>
      </c>
      <c r="I601" s="6" t="s">
        <v>8</v>
      </c>
      <c r="J601" s="2" t="s">
        <v>9</v>
      </c>
      <c r="K601" s="3" t="s">
        <v>10</v>
      </c>
      <c r="L601" s="2" t="s">
        <v>9</v>
      </c>
    </row>
    <row r="602" spans="1:12" x14ac:dyDescent="0.25">
      <c r="A602" s="4">
        <v>45808</v>
      </c>
      <c r="B602" t="s">
        <v>246</v>
      </c>
      <c r="D602" t="s">
        <v>23</v>
      </c>
      <c r="I602" s="7" t="s">
        <v>350</v>
      </c>
    </row>
    <row r="603" spans="1:12" x14ac:dyDescent="0.25">
      <c r="I603" s="7" t="s">
        <v>181</v>
      </c>
    </row>
    <row r="605" spans="1:12" x14ac:dyDescent="0.25">
      <c r="I605" s="7" t="s">
        <v>20</v>
      </c>
      <c r="J605" s="5">
        <v>750000</v>
      </c>
    </row>
    <row r="607" spans="1:12" x14ac:dyDescent="0.25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4</v>
      </c>
      <c r="F607" s="2" t="s">
        <v>5</v>
      </c>
      <c r="G607" s="3" t="s">
        <v>6</v>
      </c>
      <c r="H607" s="3" t="s">
        <v>7</v>
      </c>
      <c r="I607" s="6" t="s">
        <v>8</v>
      </c>
      <c r="J607" s="2" t="s">
        <v>9</v>
      </c>
      <c r="K607" s="3" t="s">
        <v>10</v>
      </c>
      <c r="L607" s="2" t="s">
        <v>9</v>
      </c>
    </row>
    <row r="608" spans="1:12" x14ac:dyDescent="0.25">
      <c r="A608" s="4">
        <v>45808</v>
      </c>
      <c r="B608" t="s">
        <v>21</v>
      </c>
      <c r="C608" t="s">
        <v>325</v>
      </c>
      <c r="D608" t="s">
        <v>23</v>
      </c>
      <c r="F608" s="5">
        <v>13639</v>
      </c>
      <c r="G608" t="s">
        <v>326</v>
      </c>
      <c r="I608" s="7" t="s">
        <v>351</v>
      </c>
      <c r="J608" s="5">
        <v>1150000</v>
      </c>
    </row>
    <row r="610" spans="1:12" x14ac:dyDescent="0.25">
      <c r="I610" s="7" t="s">
        <v>20</v>
      </c>
      <c r="J610" s="5">
        <v>1150000</v>
      </c>
    </row>
    <row r="612" spans="1:12" x14ac:dyDescent="0.25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4</v>
      </c>
      <c r="F612" s="2" t="s">
        <v>5</v>
      </c>
      <c r="G612" s="3" t="s">
        <v>6</v>
      </c>
      <c r="H612" s="3" t="s">
        <v>7</v>
      </c>
      <c r="I612" s="6" t="s">
        <v>8</v>
      </c>
      <c r="J612" s="2" t="s">
        <v>9</v>
      </c>
      <c r="K612" s="3" t="s">
        <v>10</v>
      </c>
      <c r="L612" s="2" t="s">
        <v>9</v>
      </c>
    </row>
    <row r="613" spans="1:12" x14ac:dyDescent="0.25">
      <c r="A613" s="4">
        <v>45808</v>
      </c>
      <c r="B613" t="s">
        <v>89</v>
      </c>
      <c r="C613" t="s">
        <v>352</v>
      </c>
      <c r="D613" t="s">
        <v>153</v>
      </c>
      <c r="F613" s="5">
        <v>87264</v>
      </c>
      <c r="I613" s="7" t="s">
        <v>353</v>
      </c>
      <c r="J613" s="5">
        <v>60000</v>
      </c>
    </row>
    <row r="614" spans="1:12" x14ac:dyDescent="0.25">
      <c r="I614" s="7" t="s">
        <v>265</v>
      </c>
      <c r="J614" s="5">
        <v>35000</v>
      </c>
    </row>
    <row r="616" spans="1:12" x14ac:dyDescent="0.25">
      <c r="I616" s="7" t="s">
        <v>20</v>
      </c>
      <c r="J616" s="5">
        <f>SUM(J613:J615)</f>
        <v>95000</v>
      </c>
    </row>
    <row r="618" spans="1:12" x14ac:dyDescent="0.2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2" t="s">
        <v>5</v>
      </c>
      <c r="G618" s="3" t="s">
        <v>6</v>
      </c>
      <c r="H618" s="3" t="s">
        <v>7</v>
      </c>
      <c r="I618" s="6" t="s">
        <v>8</v>
      </c>
      <c r="J618" s="2" t="s">
        <v>9</v>
      </c>
      <c r="K618" s="3" t="s">
        <v>10</v>
      </c>
      <c r="L618" s="2" t="s">
        <v>9</v>
      </c>
    </row>
    <row r="619" spans="1:12" x14ac:dyDescent="0.25">
      <c r="A619" s="4">
        <v>45811</v>
      </c>
      <c r="B619" t="s">
        <v>490</v>
      </c>
      <c r="C619" t="s">
        <v>491</v>
      </c>
      <c r="D619" t="s">
        <v>29</v>
      </c>
      <c r="E619">
        <v>2025</v>
      </c>
      <c r="F619" s="5">
        <v>9932</v>
      </c>
      <c r="G619" t="s">
        <v>91</v>
      </c>
      <c r="H619">
        <v>3022291584</v>
      </c>
      <c r="I619" s="7" t="s">
        <v>25</v>
      </c>
      <c r="J619" s="5">
        <v>40000</v>
      </c>
    </row>
    <row r="620" spans="1:12" x14ac:dyDescent="0.25">
      <c r="I620" s="7" t="s">
        <v>101</v>
      </c>
      <c r="J620" s="5">
        <v>6000</v>
      </c>
    </row>
    <row r="621" spans="1:12" x14ac:dyDescent="0.25">
      <c r="I621" s="7" t="s">
        <v>77</v>
      </c>
      <c r="J621" s="5">
        <v>22000</v>
      </c>
    </row>
    <row r="622" spans="1:12" x14ac:dyDescent="0.25">
      <c r="I622" s="7" t="s">
        <v>17</v>
      </c>
      <c r="J622" s="5">
        <v>48000</v>
      </c>
    </row>
    <row r="623" spans="1:12" x14ac:dyDescent="0.25">
      <c r="I623" s="7" t="s">
        <v>18</v>
      </c>
      <c r="J623" s="5">
        <v>18000</v>
      </c>
    </row>
    <row r="624" spans="1:12" x14ac:dyDescent="0.25">
      <c r="I624" s="7" t="s">
        <v>332</v>
      </c>
      <c r="J624" s="5">
        <v>10000</v>
      </c>
    </row>
    <row r="626" spans="1:12" x14ac:dyDescent="0.25">
      <c r="I626" s="7" t="s">
        <v>20</v>
      </c>
      <c r="J626" s="5">
        <f>SUM(J619:J625)</f>
        <v>144000</v>
      </c>
    </row>
    <row r="628" spans="1:12" x14ac:dyDescent="0.25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2" t="s">
        <v>5</v>
      </c>
      <c r="G628" s="3" t="s">
        <v>6</v>
      </c>
      <c r="H628" s="3" t="s">
        <v>7</v>
      </c>
      <c r="I628" s="6" t="s">
        <v>8</v>
      </c>
      <c r="J628" s="2" t="s">
        <v>9</v>
      </c>
      <c r="K628" s="3" t="s">
        <v>10</v>
      </c>
      <c r="L628" s="2" t="s">
        <v>9</v>
      </c>
    </row>
    <row r="629" spans="1:12" x14ac:dyDescent="0.25">
      <c r="A629" s="4">
        <v>45811</v>
      </c>
      <c r="B629" t="s">
        <v>1191</v>
      </c>
      <c r="C629" t="s">
        <v>1192</v>
      </c>
      <c r="G629" t="s">
        <v>1193</v>
      </c>
      <c r="H629">
        <v>3508067029</v>
      </c>
      <c r="I629" s="7" t="s">
        <v>1194</v>
      </c>
    </row>
    <row r="631" spans="1:12" x14ac:dyDescent="0.25">
      <c r="I631" s="7" t="s">
        <v>20</v>
      </c>
    </row>
    <row r="633" spans="1:12" x14ac:dyDescent="0.25">
      <c r="A633" s="1" t="s">
        <v>0</v>
      </c>
      <c r="B633" s="1" t="s">
        <v>1</v>
      </c>
      <c r="C633" s="1" t="s">
        <v>2</v>
      </c>
      <c r="D633" s="1" t="s">
        <v>3</v>
      </c>
      <c r="E633" s="1" t="s">
        <v>4</v>
      </c>
      <c r="F633" s="2" t="s">
        <v>5</v>
      </c>
      <c r="G633" s="3" t="s">
        <v>6</v>
      </c>
      <c r="H633" s="3" t="s">
        <v>7</v>
      </c>
      <c r="I633" s="6" t="s">
        <v>8</v>
      </c>
      <c r="J633" s="2" t="s">
        <v>9</v>
      </c>
      <c r="K633" s="3" t="s">
        <v>10</v>
      </c>
      <c r="L633" s="2" t="s">
        <v>9</v>
      </c>
    </row>
    <row r="634" spans="1:12" x14ac:dyDescent="0.25">
      <c r="A634" s="4">
        <v>45813</v>
      </c>
      <c r="B634" t="s">
        <v>40</v>
      </c>
      <c r="C634" t="s">
        <v>369</v>
      </c>
      <c r="D634" t="s">
        <v>29</v>
      </c>
      <c r="E634">
        <v>2007</v>
      </c>
      <c r="F634" s="5">
        <v>77751</v>
      </c>
      <c r="G634" t="s">
        <v>370</v>
      </c>
      <c r="H634">
        <v>3103022859</v>
      </c>
      <c r="I634" s="7" t="s">
        <v>16</v>
      </c>
      <c r="J634" s="5">
        <v>380000</v>
      </c>
    </row>
    <row r="635" spans="1:12" x14ac:dyDescent="0.25">
      <c r="I635" s="7" t="s">
        <v>371</v>
      </c>
      <c r="J635" s="5">
        <v>85000</v>
      </c>
    </row>
    <row r="636" spans="1:12" x14ac:dyDescent="0.25">
      <c r="I636" s="7" t="s">
        <v>303</v>
      </c>
      <c r="J636" s="5">
        <v>20000</v>
      </c>
    </row>
    <row r="637" spans="1:12" x14ac:dyDescent="0.25">
      <c r="I637" s="7" t="s">
        <v>77</v>
      </c>
      <c r="J637" s="5">
        <v>22000</v>
      </c>
    </row>
    <row r="638" spans="1:12" x14ac:dyDescent="0.25">
      <c r="I638" s="7" t="s">
        <v>372</v>
      </c>
      <c r="J638" s="5">
        <v>30000</v>
      </c>
    </row>
    <row r="639" spans="1:12" x14ac:dyDescent="0.25">
      <c r="I639" s="7" t="s">
        <v>373</v>
      </c>
      <c r="J639" s="5">
        <v>380000</v>
      </c>
    </row>
    <row r="640" spans="1:12" x14ac:dyDescent="0.25">
      <c r="I640" s="7" t="s">
        <v>374</v>
      </c>
      <c r="J640" s="5">
        <v>32000</v>
      </c>
    </row>
    <row r="641" spans="1:12" x14ac:dyDescent="0.25">
      <c r="I641" s="7" t="s">
        <v>375</v>
      </c>
      <c r="J641" s="5">
        <v>260000</v>
      </c>
    </row>
    <row r="642" spans="1:12" x14ac:dyDescent="0.25">
      <c r="I642" s="7" t="s">
        <v>376</v>
      </c>
      <c r="J642" s="5">
        <v>60000</v>
      </c>
    </row>
    <row r="643" spans="1:12" x14ac:dyDescent="0.25">
      <c r="I643" s="7" t="s">
        <v>311</v>
      </c>
      <c r="J643" s="5">
        <v>120000</v>
      </c>
    </row>
    <row r="644" spans="1:12" x14ac:dyDescent="0.25">
      <c r="I644" s="7" t="s">
        <v>169</v>
      </c>
      <c r="J644" s="5">
        <v>35000</v>
      </c>
    </row>
    <row r="645" spans="1:12" x14ac:dyDescent="0.25">
      <c r="I645" s="7" t="s">
        <v>377</v>
      </c>
      <c r="J645" s="5">
        <v>30000</v>
      </c>
    </row>
    <row r="647" spans="1:12" x14ac:dyDescent="0.25">
      <c r="I647" s="7" t="s">
        <v>20</v>
      </c>
      <c r="J647" s="5">
        <f>SUM(J634:J646)</f>
        <v>1454000</v>
      </c>
    </row>
    <row r="649" spans="1:12" x14ac:dyDescent="0.25">
      <c r="A649" s="1" t="s">
        <v>0</v>
      </c>
      <c r="B649" s="1" t="s">
        <v>1</v>
      </c>
      <c r="C649" s="1" t="s">
        <v>2</v>
      </c>
      <c r="D649" s="1" t="s">
        <v>3</v>
      </c>
      <c r="E649" s="1" t="s">
        <v>4</v>
      </c>
      <c r="F649" s="2" t="s">
        <v>5</v>
      </c>
      <c r="G649" s="3" t="s">
        <v>6</v>
      </c>
      <c r="H649" s="3" t="s">
        <v>7</v>
      </c>
      <c r="I649" s="6" t="s">
        <v>8</v>
      </c>
      <c r="J649" s="2" t="s">
        <v>9</v>
      </c>
      <c r="K649" s="3" t="s">
        <v>10</v>
      </c>
      <c r="L649" s="2" t="s">
        <v>9</v>
      </c>
    </row>
    <row r="650" spans="1:12" x14ac:dyDescent="0.25">
      <c r="A650" s="4">
        <v>45813</v>
      </c>
      <c r="B650" t="s">
        <v>40</v>
      </c>
      <c r="C650" t="s">
        <v>378</v>
      </c>
      <c r="D650" t="s">
        <v>53</v>
      </c>
      <c r="F650" s="5">
        <v>150025</v>
      </c>
      <c r="G650" t="s">
        <v>379</v>
      </c>
      <c r="I650" s="7" t="s">
        <v>149</v>
      </c>
    </row>
    <row r="651" spans="1:12" x14ac:dyDescent="0.25">
      <c r="I651" s="7" t="s">
        <v>240</v>
      </c>
    </row>
    <row r="652" spans="1:12" x14ac:dyDescent="0.25">
      <c r="I652" s="7" t="s">
        <v>169</v>
      </c>
    </row>
    <row r="653" spans="1:12" x14ac:dyDescent="0.25">
      <c r="I653" s="7" t="s">
        <v>126</v>
      </c>
    </row>
    <row r="654" spans="1:12" x14ac:dyDescent="0.25">
      <c r="I654" s="7" t="s">
        <v>100</v>
      </c>
    </row>
    <row r="656" spans="1:12" x14ac:dyDescent="0.25">
      <c r="I656" s="7" t="s">
        <v>20</v>
      </c>
    </row>
    <row r="658" spans="1:12" x14ac:dyDescent="0.25">
      <c r="A658" s="1" t="s">
        <v>0</v>
      </c>
      <c r="B658" s="1" t="s">
        <v>1</v>
      </c>
      <c r="C658" s="1" t="s">
        <v>2</v>
      </c>
      <c r="D658" s="1" t="s">
        <v>3</v>
      </c>
      <c r="E658" s="1" t="s">
        <v>4</v>
      </c>
      <c r="F658" s="2" t="s">
        <v>5</v>
      </c>
      <c r="G658" s="3" t="s">
        <v>6</v>
      </c>
      <c r="H658" s="3" t="s">
        <v>7</v>
      </c>
      <c r="I658" s="6" t="s">
        <v>8</v>
      </c>
      <c r="J658" s="2" t="s">
        <v>9</v>
      </c>
      <c r="K658" s="3" t="s">
        <v>10</v>
      </c>
      <c r="L658" s="2" t="s">
        <v>9</v>
      </c>
    </row>
    <row r="659" spans="1:12" x14ac:dyDescent="0.25">
      <c r="A659" s="4">
        <v>45814</v>
      </c>
      <c r="B659" t="s">
        <v>380</v>
      </c>
      <c r="C659" t="s">
        <v>381</v>
      </c>
      <c r="D659" t="s">
        <v>29</v>
      </c>
      <c r="E659">
        <v>2016</v>
      </c>
      <c r="F659" s="5">
        <v>20834</v>
      </c>
      <c r="G659" t="s">
        <v>383</v>
      </c>
      <c r="H659">
        <v>3105862559</v>
      </c>
      <c r="I659" s="7" t="s">
        <v>16</v>
      </c>
      <c r="J659" s="5">
        <v>300000</v>
      </c>
    </row>
    <row r="660" spans="1:12" x14ac:dyDescent="0.25">
      <c r="I660" s="7" t="s">
        <v>384</v>
      </c>
      <c r="J660" s="5">
        <v>220000</v>
      </c>
    </row>
    <row r="661" spans="1:12" x14ac:dyDescent="0.25">
      <c r="I661" s="7" t="s">
        <v>385</v>
      </c>
      <c r="J661" s="5">
        <v>20000</v>
      </c>
    </row>
    <row r="662" spans="1:12" x14ac:dyDescent="0.25">
      <c r="I662" s="7" t="s">
        <v>126</v>
      </c>
      <c r="J662" s="5">
        <v>250000</v>
      </c>
    </row>
    <row r="663" spans="1:12" x14ac:dyDescent="0.25">
      <c r="I663" s="7" t="s">
        <v>17</v>
      </c>
      <c r="J663" s="5">
        <v>115000</v>
      </c>
    </row>
    <row r="664" spans="1:12" x14ac:dyDescent="0.25">
      <c r="I664" s="7" t="s">
        <v>18</v>
      </c>
      <c r="J664" s="5">
        <v>46000</v>
      </c>
    </row>
    <row r="666" spans="1:12" x14ac:dyDescent="0.25">
      <c r="I666" s="7" t="s">
        <v>20</v>
      </c>
      <c r="J666" s="5">
        <f>SUM(J659:J665)</f>
        <v>951000</v>
      </c>
    </row>
    <row r="668" spans="1:12" x14ac:dyDescent="0.25">
      <c r="A668" s="1" t="s">
        <v>0</v>
      </c>
      <c r="B668" s="1" t="s">
        <v>1</v>
      </c>
      <c r="C668" s="1" t="s">
        <v>2</v>
      </c>
      <c r="D668" s="1" t="s">
        <v>3</v>
      </c>
      <c r="E668" s="1" t="s">
        <v>4</v>
      </c>
      <c r="F668" s="2" t="s">
        <v>5</v>
      </c>
      <c r="G668" s="3" t="s">
        <v>6</v>
      </c>
      <c r="H668" s="3" t="s">
        <v>7</v>
      </c>
      <c r="I668" s="6" t="s">
        <v>8</v>
      </c>
      <c r="J668" s="2" t="s">
        <v>9</v>
      </c>
      <c r="K668" s="3" t="s">
        <v>10</v>
      </c>
      <c r="L668" s="2" t="s">
        <v>9</v>
      </c>
    </row>
    <row r="669" spans="1:12" x14ac:dyDescent="0.25">
      <c r="A669" s="4">
        <v>45783</v>
      </c>
      <c r="B669" t="s">
        <v>386</v>
      </c>
      <c r="C669" t="s">
        <v>387</v>
      </c>
      <c r="F669" s="5">
        <v>27274</v>
      </c>
      <c r="G669" t="s">
        <v>388</v>
      </c>
      <c r="I669" s="7" t="s">
        <v>389</v>
      </c>
    </row>
    <row r="670" spans="1:12" x14ac:dyDescent="0.25">
      <c r="I670" s="7" t="s">
        <v>390</v>
      </c>
    </row>
    <row r="671" spans="1:12" x14ac:dyDescent="0.25">
      <c r="I671" s="7" t="s">
        <v>100</v>
      </c>
    </row>
    <row r="673" spans="1:12" x14ac:dyDescent="0.25">
      <c r="I673" s="7" t="s">
        <v>20</v>
      </c>
      <c r="J673" s="5">
        <v>100000</v>
      </c>
    </row>
    <row r="675" spans="1:12" x14ac:dyDescent="0.25">
      <c r="A675" s="1" t="s">
        <v>0</v>
      </c>
      <c r="B675" s="1" t="s">
        <v>1</v>
      </c>
      <c r="C675" s="1" t="s">
        <v>2</v>
      </c>
      <c r="D675" s="1" t="s">
        <v>3</v>
      </c>
      <c r="E675" s="1" t="s">
        <v>4</v>
      </c>
      <c r="F675" s="2" t="s">
        <v>5</v>
      </c>
      <c r="G675" s="3" t="s">
        <v>6</v>
      </c>
      <c r="H675" s="3" t="s">
        <v>7</v>
      </c>
      <c r="I675" s="6" t="s">
        <v>8</v>
      </c>
      <c r="J675" s="2" t="s">
        <v>9</v>
      </c>
      <c r="K675" s="3" t="s">
        <v>10</v>
      </c>
      <c r="L675" s="2" t="s">
        <v>9</v>
      </c>
    </row>
    <row r="676" spans="1:12" x14ac:dyDescent="0.25">
      <c r="A676" s="4">
        <v>45814</v>
      </c>
      <c r="B676" t="s">
        <v>391</v>
      </c>
      <c r="C676" t="s">
        <v>392</v>
      </c>
      <c r="D676" t="s">
        <v>29</v>
      </c>
      <c r="I676" s="7" t="s">
        <v>26</v>
      </c>
    </row>
    <row r="678" spans="1:12" x14ac:dyDescent="0.25">
      <c r="I678" s="7" t="s">
        <v>20</v>
      </c>
      <c r="J678" s="5">
        <v>120000</v>
      </c>
    </row>
    <row r="680" spans="1:12" x14ac:dyDescent="0.25">
      <c r="A680" s="1" t="s">
        <v>0</v>
      </c>
      <c r="B680" s="1" t="s">
        <v>1</v>
      </c>
      <c r="C680" s="1" t="s">
        <v>2</v>
      </c>
      <c r="D680" s="1" t="s">
        <v>3</v>
      </c>
      <c r="E680" s="1" t="s">
        <v>4</v>
      </c>
      <c r="F680" s="2" t="s">
        <v>5</v>
      </c>
      <c r="G680" s="3" t="s">
        <v>6</v>
      </c>
      <c r="H680" s="3" t="s">
        <v>7</v>
      </c>
      <c r="I680" s="6" t="s">
        <v>8</v>
      </c>
      <c r="J680" s="2" t="s">
        <v>9</v>
      </c>
      <c r="K680" s="3" t="s">
        <v>10</v>
      </c>
      <c r="L680" s="2" t="s">
        <v>9</v>
      </c>
    </row>
    <row r="681" spans="1:12" x14ac:dyDescent="0.25">
      <c r="A681" s="4">
        <v>45814</v>
      </c>
      <c r="B681" t="s">
        <v>393</v>
      </c>
      <c r="C681" t="s">
        <v>394</v>
      </c>
      <c r="D681" t="s">
        <v>395</v>
      </c>
      <c r="F681" s="5">
        <v>104256</v>
      </c>
      <c r="G681" t="s">
        <v>396</v>
      </c>
      <c r="I681" s="7" t="s">
        <v>16</v>
      </c>
      <c r="J681" s="5">
        <v>350000</v>
      </c>
    </row>
    <row r="682" spans="1:12" x14ac:dyDescent="0.25">
      <c r="I682" s="7" t="s">
        <v>172</v>
      </c>
      <c r="J682" s="5">
        <v>228000</v>
      </c>
    </row>
    <row r="683" spans="1:12" x14ac:dyDescent="0.25">
      <c r="I683" s="7" t="s">
        <v>397</v>
      </c>
      <c r="J683" s="5">
        <v>16000</v>
      </c>
    </row>
    <row r="684" spans="1:12" x14ac:dyDescent="0.25">
      <c r="I684" s="7" t="s">
        <v>26</v>
      </c>
      <c r="J684" s="5">
        <v>120000</v>
      </c>
    </row>
    <row r="685" spans="1:12" x14ac:dyDescent="0.25">
      <c r="I685" s="7" t="s">
        <v>77</v>
      </c>
      <c r="J685" s="5">
        <v>22000</v>
      </c>
    </row>
    <row r="686" spans="1:12" x14ac:dyDescent="0.25">
      <c r="I686" s="7" t="s">
        <v>398</v>
      </c>
    </row>
    <row r="687" spans="1:12" x14ac:dyDescent="0.25">
      <c r="I687" s="7" t="s">
        <v>399</v>
      </c>
    </row>
    <row r="689" spans="1:12" x14ac:dyDescent="0.25">
      <c r="I689" s="7" t="s">
        <v>20</v>
      </c>
      <c r="J689" s="5">
        <f>SUM(J681:J688)</f>
        <v>736000</v>
      </c>
    </row>
    <row r="691" spans="1:12" x14ac:dyDescent="0.25">
      <c r="A691" s="1" t="s">
        <v>0</v>
      </c>
      <c r="B691" s="1" t="s">
        <v>1</v>
      </c>
      <c r="C691" s="1" t="s">
        <v>2</v>
      </c>
      <c r="D691" s="1" t="s">
        <v>3</v>
      </c>
      <c r="E691" s="1" t="s">
        <v>4</v>
      </c>
      <c r="F691" s="2" t="s">
        <v>5</v>
      </c>
      <c r="G691" s="3" t="s">
        <v>6</v>
      </c>
      <c r="H691" s="3" t="s">
        <v>7</v>
      </c>
      <c r="I691" s="6" t="s">
        <v>8</v>
      </c>
      <c r="J691" s="2" t="s">
        <v>9</v>
      </c>
      <c r="K691" s="3" t="s">
        <v>10</v>
      </c>
      <c r="L691" s="2" t="s">
        <v>9</v>
      </c>
    </row>
    <row r="692" spans="1:12" x14ac:dyDescent="0.25">
      <c r="A692" s="4">
        <v>45814</v>
      </c>
      <c r="B692" t="s">
        <v>21</v>
      </c>
      <c r="C692" t="s">
        <v>400</v>
      </c>
      <c r="D692" t="s">
        <v>23</v>
      </c>
      <c r="F692" s="5">
        <v>122975</v>
      </c>
      <c r="G692" t="s">
        <v>401</v>
      </c>
      <c r="I692" s="7" t="s">
        <v>70</v>
      </c>
      <c r="J692" s="5">
        <v>228000</v>
      </c>
    </row>
    <row r="693" spans="1:12" x14ac:dyDescent="0.25">
      <c r="I693" s="7" t="s">
        <v>18</v>
      </c>
      <c r="J693" s="5">
        <v>46000</v>
      </c>
    </row>
    <row r="694" spans="1:12" x14ac:dyDescent="0.25">
      <c r="I694" s="7" t="s">
        <v>100</v>
      </c>
      <c r="J694" s="5">
        <v>30000</v>
      </c>
    </row>
    <row r="695" spans="1:12" x14ac:dyDescent="0.25">
      <c r="I695" s="7" t="s">
        <v>215</v>
      </c>
      <c r="J695" s="5">
        <v>10000</v>
      </c>
    </row>
    <row r="696" spans="1:12" x14ac:dyDescent="0.25">
      <c r="I696" s="7" t="s">
        <v>402</v>
      </c>
      <c r="J696" s="5">
        <v>30000</v>
      </c>
    </row>
    <row r="697" spans="1:12" x14ac:dyDescent="0.25">
      <c r="I697" s="7" t="s">
        <v>403</v>
      </c>
      <c r="J697" s="5">
        <v>30000</v>
      </c>
    </row>
    <row r="699" spans="1:12" x14ac:dyDescent="0.25">
      <c r="I699" s="7" t="s">
        <v>20</v>
      </c>
      <c r="J699" s="5">
        <f>SUM(J692:J698)</f>
        <v>374000</v>
      </c>
    </row>
    <row r="701" spans="1:12" x14ac:dyDescent="0.25">
      <c r="I701" s="7" t="s">
        <v>404</v>
      </c>
    </row>
    <row r="702" spans="1:12" x14ac:dyDescent="0.25">
      <c r="I702" s="7" t="s">
        <v>405</v>
      </c>
      <c r="J702" s="5">
        <v>250000</v>
      </c>
    </row>
    <row r="704" spans="1:12" x14ac:dyDescent="0.25">
      <c r="I704" s="7" t="s">
        <v>20</v>
      </c>
      <c r="J704" s="5">
        <f>SUM(J699:J703)</f>
        <v>624000</v>
      </c>
    </row>
    <row r="706" spans="1:12" x14ac:dyDescent="0.25">
      <c r="A706" s="1" t="s">
        <v>0</v>
      </c>
      <c r="B706" s="1" t="s">
        <v>1</v>
      </c>
      <c r="C706" s="1" t="s">
        <v>2</v>
      </c>
      <c r="D706" s="1" t="s">
        <v>3</v>
      </c>
      <c r="E706" s="1" t="s">
        <v>4</v>
      </c>
      <c r="F706" s="2" t="s">
        <v>5</v>
      </c>
      <c r="G706" s="3" t="s">
        <v>6</v>
      </c>
      <c r="H706" s="3" t="s">
        <v>7</v>
      </c>
      <c r="I706" s="6" t="s">
        <v>8</v>
      </c>
      <c r="J706" s="2" t="s">
        <v>9</v>
      </c>
      <c r="K706" s="3" t="s">
        <v>10</v>
      </c>
      <c r="L706" s="2" t="s">
        <v>9</v>
      </c>
    </row>
    <row r="707" spans="1:12" x14ac:dyDescent="0.25">
      <c r="A707" s="4">
        <v>45814</v>
      </c>
      <c r="B707" t="s">
        <v>406</v>
      </c>
      <c r="G707" t="s">
        <v>407</v>
      </c>
      <c r="I707" s="7" t="s">
        <v>408</v>
      </c>
      <c r="J707" s="5">
        <v>120000</v>
      </c>
    </row>
    <row r="708" spans="1:12" x14ac:dyDescent="0.25">
      <c r="I708" s="7" t="s">
        <v>409</v>
      </c>
      <c r="J708" s="5">
        <v>180000</v>
      </c>
    </row>
    <row r="709" spans="1:12" x14ac:dyDescent="0.25">
      <c r="I709" s="7" t="s">
        <v>410</v>
      </c>
      <c r="J709" s="5">
        <v>35000</v>
      </c>
    </row>
    <row r="710" spans="1:12" x14ac:dyDescent="0.25">
      <c r="I710" s="7" t="s">
        <v>100</v>
      </c>
      <c r="J710" s="5">
        <v>80000</v>
      </c>
    </row>
    <row r="712" spans="1:12" x14ac:dyDescent="0.25">
      <c r="I712" s="7" t="s">
        <v>20</v>
      </c>
      <c r="J712" s="5">
        <f>SUM(J707:J711)</f>
        <v>415000</v>
      </c>
    </row>
    <row r="714" spans="1:12" x14ac:dyDescent="0.25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4</v>
      </c>
      <c r="F714" s="2" t="s">
        <v>5</v>
      </c>
      <c r="G714" s="3" t="s">
        <v>6</v>
      </c>
      <c r="H714" s="3" t="s">
        <v>7</v>
      </c>
      <c r="I714" s="6" t="s">
        <v>8</v>
      </c>
      <c r="J714" s="2" t="s">
        <v>9</v>
      </c>
      <c r="K714" s="3" t="s">
        <v>10</v>
      </c>
      <c r="L714" s="2" t="s">
        <v>9</v>
      </c>
    </row>
    <row r="715" spans="1:12" x14ac:dyDescent="0.25">
      <c r="A715" s="4">
        <v>45815</v>
      </c>
      <c r="B715" t="s">
        <v>411</v>
      </c>
      <c r="D715" t="s">
        <v>13</v>
      </c>
      <c r="I715" s="7" t="s">
        <v>240</v>
      </c>
      <c r="J715" s="5">
        <v>120000</v>
      </c>
    </row>
    <row r="716" spans="1:12" x14ac:dyDescent="0.25">
      <c r="I716" s="7" t="s">
        <v>169</v>
      </c>
      <c r="J716" s="5">
        <v>35000</v>
      </c>
    </row>
    <row r="718" spans="1:12" x14ac:dyDescent="0.25">
      <c r="I718" s="7" t="s">
        <v>20</v>
      </c>
      <c r="J718" s="5">
        <f>SUM(J715:J717)</f>
        <v>155000</v>
      </c>
    </row>
    <row r="720" spans="1:12" x14ac:dyDescent="0.25">
      <c r="A720" s="1" t="s">
        <v>0</v>
      </c>
      <c r="B720" s="1" t="s">
        <v>1</v>
      </c>
      <c r="C720" s="1" t="s">
        <v>2</v>
      </c>
      <c r="D720" s="1" t="s">
        <v>3</v>
      </c>
      <c r="E720" s="1" t="s">
        <v>4</v>
      </c>
      <c r="F720" s="2" t="s">
        <v>5</v>
      </c>
      <c r="G720" s="3" t="s">
        <v>6</v>
      </c>
      <c r="H720" s="3" t="s">
        <v>7</v>
      </c>
      <c r="I720" s="6" t="s">
        <v>8</v>
      </c>
      <c r="J720" s="2" t="s">
        <v>9</v>
      </c>
      <c r="K720" s="3" t="s">
        <v>10</v>
      </c>
      <c r="L720" s="2" t="s">
        <v>9</v>
      </c>
    </row>
    <row r="721" spans="1:12" x14ac:dyDescent="0.25">
      <c r="A721" s="4">
        <v>45815</v>
      </c>
      <c r="B721" t="s">
        <v>151</v>
      </c>
      <c r="C721" t="s">
        <v>1275</v>
      </c>
      <c r="D721" t="s">
        <v>153</v>
      </c>
      <c r="F721" s="5">
        <v>63000</v>
      </c>
      <c r="G721" t="s">
        <v>412</v>
      </c>
      <c r="I721" s="7" t="s">
        <v>77</v>
      </c>
      <c r="J721" s="5">
        <v>22000</v>
      </c>
    </row>
    <row r="722" spans="1:12" x14ac:dyDescent="0.25">
      <c r="I722" s="7" t="s">
        <v>413</v>
      </c>
      <c r="J722" s="5">
        <v>58000</v>
      </c>
    </row>
    <row r="724" spans="1:12" x14ac:dyDescent="0.25">
      <c r="I724" s="7" t="s">
        <v>20</v>
      </c>
      <c r="J724" s="5">
        <f>SUM(J721:J723)</f>
        <v>80000</v>
      </c>
    </row>
    <row r="726" spans="1:12" x14ac:dyDescent="0.25">
      <c r="A726" s="1" t="s">
        <v>0</v>
      </c>
      <c r="B726" s="1" t="s">
        <v>1</v>
      </c>
      <c r="C726" s="1" t="s">
        <v>2</v>
      </c>
      <c r="D726" s="1" t="s">
        <v>3</v>
      </c>
      <c r="E726" s="1" t="s">
        <v>4</v>
      </c>
      <c r="F726" s="2" t="s">
        <v>5</v>
      </c>
      <c r="G726" s="3" t="s">
        <v>6</v>
      </c>
      <c r="H726" s="3" t="s">
        <v>7</v>
      </c>
      <c r="I726" s="6" t="s">
        <v>8</v>
      </c>
      <c r="J726" s="2" t="s">
        <v>9</v>
      </c>
      <c r="K726" s="3" t="s">
        <v>10</v>
      </c>
      <c r="L726" s="2" t="s">
        <v>9</v>
      </c>
    </row>
    <row r="727" spans="1:12" x14ac:dyDescent="0.25">
      <c r="A727" s="4">
        <v>45815</v>
      </c>
      <c r="B727" t="s">
        <v>354</v>
      </c>
      <c r="C727" t="s">
        <v>355</v>
      </c>
      <c r="D727" t="s">
        <v>53</v>
      </c>
      <c r="E727">
        <v>2013</v>
      </c>
      <c r="F727" s="5">
        <v>85022</v>
      </c>
      <c r="G727" t="s">
        <v>382</v>
      </c>
      <c r="H727">
        <v>3188531613</v>
      </c>
      <c r="I727" s="7" t="s">
        <v>16</v>
      </c>
      <c r="J727" s="5">
        <v>350000</v>
      </c>
    </row>
    <row r="728" spans="1:12" x14ac:dyDescent="0.25">
      <c r="I728" s="7" t="s">
        <v>356</v>
      </c>
      <c r="J728" s="5">
        <v>650000</v>
      </c>
    </row>
    <row r="729" spans="1:12" x14ac:dyDescent="0.25">
      <c r="I729" s="7" t="s">
        <v>344</v>
      </c>
      <c r="J729" s="5">
        <v>90000</v>
      </c>
    </row>
    <row r="730" spans="1:12" x14ac:dyDescent="0.25">
      <c r="I730" s="7" t="s">
        <v>77</v>
      </c>
      <c r="J730" s="5">
        <v>22000</v>
      </c>
    </row>
    <row r="732" spans="1:12" x14ac:dyDescent="0.25">
      <c r="I732" s="7" t="s">
        <v>20</v>
      </c>
      <c r="J732" s="5">
        <f>SUM(J727:J731)</f>
        <v>1112000</v>
      </c>
    </row>
    <row r="734" spans="1:12" x14ac:dyDescent="0.25">
      <c r="A734" s="1" t="s">
        <v>0</v>
      </c>
      <c r="B734" s="1" t="s">
        <v>1</v>
      </c>
      <c r="C734" s="1" t="s">
        <v>2</v>
      </c>
      <c r="D734" s="1" t="s">
        <v>3</v>
      </c>
      <c r="E734" s="1" t="s">
        <v>4</v>
      </c>
      <c r="F734" s="2" t="s">
        <v>5</v>
      </c>
      <c r="G734" s="3" t="s">
        <v>6</v>
      </c>
      <c r="H734" s="3" t="s">
        <v>7</v>
      </c>
      <c r="I734" s="6" t="s">
        <v>8</v>
      </c>
      <c r="J734" s="2" t="s">
        <v>9</v>
      </c>
      <c r="K734" s="3" t="s">
        <v>10</v>
      </c>
      <c r="L734" s="2" t="s">
        <v>9</v>
      </c>
    </row>
    <row r="735" spans="1:12" x14ac:dyDescent="0.25">
      <c r="A735" s="4">
        <v>45815</v>
      </c>
      <c r="B735" t="s">
        <v>357</v>
      </c>
      <c r="C735" t="s">
        <v>358</v>
      </c>
      <c r="D735" t="s">
        <v>359</v>
      </c>
      <c r="F735" s="5">
        <v>26476</v>
      </c>
      <c r="G735" t="s">
        <v>360</v>
      </c>
      <c r="I735" s="7" t="s">
        <v>361</v>
      </c>
      <c r="J735" s="5">
        <v>1400000</v>
      </c>
    </row>
    <row r="736" spans="1:12" x14ac:dyDescent="0.25">
      <c r="I736" s="7" t="s">
        <v>362</v>
      </c>
      <c r="J736" s="5">
        <v>250000</v>
      </c>
    </row>
    <row r="737" spans="1:12" x14ac:dyDescent="0.25">
      <c r="I737" s="7" t="s">
        <v>363</v>
      </c>
      <c r="J737" s="5">
        <v>90000</v>
      </c>
    </row>
    <row r="738" spans="1:12" x14ac:dyDescent="0.25">
      <c r="I738" s="7" t="s">
        <v>364</v>
      </c>
      <c r="J738" s="5">
        <v>180000</v>
      </c>
    </row>
    <row r="739" spans="1:12" x14ac:dyDescent="0.25">
      <c r="I739" s="7" t="s">
        <v>365</v>
      </c>
      <c r="J739" s="5">
        <v>170000</v>
      </c>
    </row>
    <row r="740" spans="1:12" x14ac:dyDescent="0.25">
      <c r="I740" s="7" t="s">
        <v>366</v>
      </c>
      <c r="J740" s="5">
        <v>30000</v>
      </c>
    </row>
    <row r="741" spans="1:12" x14ac:dyDescent="0.25">
      <c r="I741" s="7" t="s">
        <v>100</v>
      </c>
      <c r="J741" s="5">
        <v>600000</v>
      </c>
    </row>
    <row r="742" spans="1:12" x14ac:dyDescent="0.25">
      <c r="I742" s="7" t="s">
        <v>367</v>
      </c>
      <c r="J742" s="5">
        <v>130000</v>
      </c>
    </row>
    <row r="743" spans="1:12" x14ac:dyDescent="0.25">
      <c r="I743" s="7" t="s">
        <v>368</v>
      </c>
      <c r="J743" s="5">
        <v>120000</v>
      </c>
    </row>
    <row r="745" spans="1:12" x14ac:dyDescent="0.25">
      <c r="I745" s="7" t="s">
        <v>20</v>
      </c>
      <c r="J745" s="5">
        <f>SUM(J735:J744)</f>
        <v>2970000</v>
      </c>
    </row>
    <row r="747" spans="1:12" x14ac:dyDescent="0.25">
      <c r="A747" s="1" t="s">
        <v>0</v>
      </c>
      <c r="B747" s="1" t="s">
        <v>1</v>
      </c>
      <c r="C747" s="1" t="s">
        <v>2</v>
      </c>
      <c r="D747" s="1" t="s">
        <v>3</v>
      </c>
      <c r="E747" s="1" t="s">
        <v>4</v>
      </c>
      <c r="F747" s="2" t="s">
        <v>5</v>
      </c>
      <c r="G747" s="3" t="s">
        <v>6</v>
      </c>
      <c r="H747" s="3" t="s">
        <v>7</v>
      </c>
      <c r="I747" s="6" t="s">
        <v>8</v>
      </c>
      <c r="J747" s="2" t="s">
        <v>9</v>
      </c>
      <c r="K747" s="3" t="s">
        <v>10</v>
      </c>
      <c r="L747" s="2" t="s">
        <v>9</v>
      </c>
    </row>
    <row r="748" spans="1:12" x14ac:dyDescent="0.25">
      <c r="A748" s="4">
        <v>45815</v>
      </c>
      <c r="B748" t="s">
        <v>21</v>
      </c>
      <c r="C748" t="s">
        <v>414</v>
      </c>
      <c r="D748" t="s">
        <v>23</v>
      </c>
      <c r="F748" s="5">
        <v>90094</v>
      </c>
      <c r="G748" t="s">
        <v>418</v>
      </c>
      <c r="I748" s="7" t="s">
        <v>16</v>
      </c>
      <c r="J748" s="5">
        <v>150000</v>
      </c>
    </row>
    <row r="749" spans="1:12" x14ac:dyDescent="0.25">
      <c r="I749" s="7" t="s">
        <v>108</v>
      </c>
      <c r="J749" s="5">
        <v>150000</v>
      </c>
    </row>
    <row r="750" spans="1:12" x14ac:dyDescent="0.25">
      <c r="I750" s="7" t="s">
        <v>215</v>
      </c>
      <c r="J750" s="5">
        <v>20000</v>
      </c>
    </row>
    <row r="751" spans="1:12" x14ac:dyDescent="0.25">
      <c r="I751" s="7" t="s">
        <v>402</v>
      </c>
      <c r="J751" s="5">
        <v>30000</v>
      </c>
    </row>
    <row r="752" spans="1:12" x14ac:dyDescent="0.25">
      <c r="I752" s="7" t="s">
        <v>416</v>
      </c>
      <c r="J752" s="5">
        <v>55000</v>
      </c>
    </row>
    <row r="753" spans="1:12" x14ac:dyDescent="0.25">
      <c r="I753" s="7" t="s">
        <v>417</v>
      </c>
      <c r="J753" s="5">
        <v>40000</v>
      </c>
    </row>
    <row r="754" spans="1:12" x14ac:dyDescent="0.25">
      <c r="I754" s="7" t="s">
        <v>419</v>
      </c>
      <c r="J754" s="5">
        <v>30000</v>
      </c>
    </row>
    <row r="755" spans="1:12" x14ac:dyDescent="0.25">
      <c r="I755" s="7" t="s">
        <v>77</v>
      </c>
      <c r="J755" s="5">
        <v>22000</v>
      </c>
    </row>
    <row r="756" spans="1:12" x14ac:dyDescent="0.25">
      <c r="I756" s="7" t="s">
        <v>420</v>
      </c>
      <c r="J756" s="5">
        <v>27000</v>
      </c>
    </row>
    <row r="758" spans="1:12" x14ac:dyDescent="0.25">
      <c r="I758" s="7" t="s">
        <v>20</v>
      </c>
      <c r="J758" s="5">
        <f>SUM(J748:J757)</f>
        <v>524000</v>
      </c>
    </row>
    <row r="760" spans="1:12" x14ac:dyDescent="0.25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2" t="s">
        <v>5</v>
      </c>
      <c r="G760" s="3" t="s">
        <v>6</v>
      </c>
      <c r="H760" s="3" t="s">
        <v>7</v>
      </c>
      <c r="I760" s="6" t="s">
        <v>8</v>
      </c>
      <c r="J760" s="2" t="s">
        <v>9</v>
      </c>
      <c r="K760" s="3" t="s">
        <v>10</v>
      </c>
      <c r="L760" s="2" t="s">
        <v>9</v>
      </c>
    </row>
    <row r="761" spans="1:12" x14ac:dyDescent="0.25">
      <c r="A761" s="4">
        <v>45815</v>
      </c>
      <c r="B761" t="s">
        <v>21</v>
      </c>
      <c r="C761" t="s">
        <v>421</v>
      </c>
      <c r="D761" t="s">
        <v>153</v>
      </c>
      <c r="F761" s="5">
        <v>184960</v>
      </c>
      <c r="G761" t="s">
        <v>422</v>
      </c>
      <c r="I761" s="7" t="s">
        <v>423</v>
      </c>
      <c r="J761" s="5">
        <v>140000</v>
      </c>
    </row>
    <row r="762" spans="1:12" x14ac:dyDescent="0.25">
      <c r="I762" s="7" t="s">
        <v>105</v>
      </c>
      <c r="J762" s="5">
        <v>60000</v>
      </c>
    </row>
    <row r="763" spans="1:12" x14ac:dyDescent="0.25">
      <c r="I763" s="7" t="s">
        <v>424</v>
      </c>
      <c r="J763" s="5">
        <v>200000</v>
      </c>
    </row>
    <row r="765" spans="1:12" x14ac:dyDescent="0.25">
      <c r="I765" s="7" t="s">
        <v>20</v>
      </c>
      <c r="J765" s="5">
        <f>SUM(J761:J764)</f>
        <v>400000</v>
      </c>
    </row>
    <row r="767" spans="1:12" x14ac:dyDescent="0.25">
      <c r="A767" s="1" t="s">
        <v>0</v>
      </c>
      <c r="B767" s="1" t="s">
        <v>1</v>
      </c>
      <c r="C767" s="1" t="s">
        <v>2</v>
      </c>
      <c r="D767" s="1" t="s">
        <v>3</v>
      </c>
      <c r="E767" s="1" t="s">
        <v>4</v>
      </c>
      <c r="F767" s="2" t="s">
        <v>5</v>
      </c>
      <c r="G767" s="3" t="s">
        <v>6</v>
      </c>
      <c r="H767" s="3" t="s">
        <v>7</v>
      </c>
      <c r="I767" s="6" t="s">
        <v>8</v>
      </c>
      <c r="J767" s="2" t="s">
        <v>9</v>
      </c>
      <c r="K767" s="3" t="s">
        <v>10</v>
      </c>
      <c r="L767" s="2" t="s">
        <v>9</v>
      </c>
    </row>
    <row r="768" spans="1:12" x14ac:dyDescent="0.25">
      <c r="A768" s="4">
        <v>45815</v>
      </c>
      <c r="B768" t="s">
        <v>21</v>
      </c>
      <c r="C768" t="s">
        <v>428</v>
      </c>
      <c r="D768" t="s">
        <v>23</v>
      </c>
      <c r="G768" t="s">
        <v>415</v>
      </c>
      <c r="I768" s="7" t="s">
        <v>429</v>
      </c>
    </row>
    <row r="769" spans="1:12" x14ac:dyDescent="0.25">
      <c r="I769" s="7" t="s">
        <v>430</v>
      </c>
    </row>
    <row r="771" spans="1:12" x14ac:dyDescent="0.25">
      <c r="I771" s="7" t="s">
        <v>20</v>
      </c>
    </row>
    <row r="773" spans="1:12" x14ac:dyDescent="0.25">
      <c r="A773" s="1" t="s">
        <v>0</v>
      </c>
      <c r="B773" s="1" t="s">
        <v>1</v>
      </c>
      <c r="C773" s="1" t="s">
        <v>2</v>
      </c>
      <c r="D773" s="1" t="s">
        <v>3</v>
      </c>
      <c r="E773" s="1" t="s">
        <v>4</v>
      </c>
      <c r="F773" s="2" t="s">
        <v>5</v>
      </c>
      <c r="G773" s="3" t="s">
        <v>6</v>
      </c>
      <c r="H773" s="3" t="s">
        <v>7</v>
      </c>
      <c r="I773" s="6" t="s">
        <v>8</v>
      </c>
      <c r="J773" s="2" t="s">
        <v>9</v>
      </c>
      <c r="K773" s="3" t="s">
        <v>10</v>
      </c>
      <c r="L773" s="2" t="s">
        <v>9</v>
      </c>
    </row>
    <row r="774" spans="1:12" x14ac:dyDescent="0.25">
      <c r="A774" s="4">
        <v>45815</v>
      </c>
      <c r="B774" t="s">
        <v>435</v>
      </c>
      <c r="C774" t="s">
        <v>436</v>
      </c>
      <c r="D774" t="s">
        <v>84</v>
      </c>
      <c r="F774" s="5">
        <v>93486</v>
      </c>
      <c r="G774" t="s">
        <v>437</v>
      </c>
      <c r="H774">
        <v>3214596286</v>
      </c>
      <c r="I774" s="7" t="s">
        <v>16</v>
      </c>
      <c r="J774" s="5">
        <v>230000</v>
      </c>
    </row>
    <row r="775" spans="1:12" x14ac:dyDescent="0.25">
      <c r="H775">
        <v>3228188803</v>
      </c>
      <c r="I775" s="7" t="s">
        <v>77</v>
      </c>
      <c r="J775" s="5">
        <v>22000</v>
      </c>
    </row>
    <row r="776" spans="1:12" x14ac:dyDescent="0.25">
      <c r="I776" s="7" t="s">
        <v>88</v>
      </c>
      <c r="J776" s="5">
        <v>212800</v>
      </c>
    </row>
    <row r="778" spans="1:12" x14ac:dyDescent="0.25">
      <c r="I778" s="7" t="s">
        <v>20</v>
      </c>
      <c r="J778" s="5">
        <f>SUM(J774:J777)</f>
        <v>464800</v>
      </c>
    </row>
    <row r="780" spans="1:12" x14ac:dyDescent="0.25">
      <c r="A780" s="1" t="s">
        <v>0</v>
      </c>
      <c r="B780" s="1" t="s">
        <v>1</v>
      </c>
      <c r="C780" s="1" t="s">
        <v>2</v>
      </c>
      <c r="D780" s="1" t="s">
        <v>3</v>
      </c>
      <c r="E780" s="1" t="s">
        <v>4</v>
      </c>
      <c r="F780" s="2" t="s">
        <v>5</v>
      </c>
      <c r="G780" s="3" t="s">
        <v>6</v>
      </c>
      <c r="H780" s="3" t="s">
        <v>7</v>
      </c>
      <c r="I780" s="6" t="s">
        <v>8</v>
      </c>
      <c r="J780" s="2" t="s">
        <v>9</v>
      </c>
      <c r="K780" s="3" t="s">
        <v>10</v>
      </c>
      <c r="L780" s="2" t="s">
        <v>9</v>
      </c>
    </row>
    <row r="781" spans="1:12" x14ac:dyDescent="0.25">
      <c r="A781" s="4">
        <v>45817</v>
      </c>
      <c r="B781" t="s">
        <v>438</v>
      </c>
      <c r="C781" t="s">
        <v>439</v>
      </c>
      <c r="D781" t="s">
        <v>29</v>
      </c>
      <c r="F781" s="5">
        <v>10790</v>
      </c>
      <c r="I781" s="7" t="s">
        <v>77</v>
      </c>
    </row>
    <row r="782" spans="1:12" x14ac:dyDescent="0.25">
      <c r="I782" s="7" t="s">
        <v>440</v>
      </c>
    </row>
    <row r="784" spans="1:12" x14ac:dyDescent="0.25">
      <c r="I784" s="7" t="s">
        <v>20</v>
      </c>
      <c r="J784" s="5">
        <v>50000</v>
      </c>
    </row>
    <row r="786" spans="1:12" x14ac:dyDescent="0.25">
      <c r="A786" s="1" t="s">
        <v>0</v>
      </c>
      <c r="B786" s="1" t="s">
        <v>1</v>
      </c>
      <c r="C786" s="1" t="s">
        <v>2</v>
      </c>
      <c r="D786" s="1" t="s">
        <v>3</v>
      </c>
      <c r="E786" s="1" t="s">
        <v>4</v>
      </c>
      <c r="F786" s="2" t="s">
        <v>5</v>
      </c>
      <c r="G786" s="3" t="s">
        <v>6</v>
      </c>
      <c r="H786" s="3" t="s">
        <v>7</v>
      </c>
      <c r="I786" s="6" t="s">
        <v>8</v>
      </c>
      <c r="J786" s="2" t="s">
        <v>9</v>
      </c>
      <c r="K786" s="3" t="s">
        <v>10</v>
      </c>
      <c r="L786" s="2" t="s">
        <v>9</v>
      </c>
    </row>
    <row r="787" spans="1:12" x14ac:dyDescent="0.25">
      <c r="A787" s="4">
        <v>45817</v>
      </c>
      <c r="B787" t="s">
        <v>441</v>
      </c>
      <c r="C787" t="s">
        <v>223</v>
      </c>
      <c r="D787" t="s">
        <v>53</v>
      </c>
      <c r="F787" s="5">
        <v>80183</v>
      </c>
      <c r="G787" t="s">
        <v>442</v>
      </c>
      <c r="I787" s="7" t="s">
        <v>17</v>
      </c>
      <c r="J787" s="5">
        <v>120000</v>
      </c>
    </row>
    <row r="788" spans="1:12" x14ac:dyDescent="0.25">
      <c r="I788" s="7" t="s">
        <v>18</v>
      </c>
      <c r="J788" s="5">
        <v>50000</v>
      </c>
    </row>
    <row r="789" spans="1:12" x14ac:dyDescent="0.25">
      <c r="I789" s="7" t="s">
        <v>443</v>
      </c>
      <c r="J789" s="5">
        <v>15000</v>
      </c>
    </row>
    <row r="790" spans="1:12" x14ac:dyDescent="0.25">
      <c r="I790" s="7" t="s">
        <v>444</v>
      </c>
      <c r="J790" s="5">
        <v>25000</v>
      </c>
    </row>
    <row r="791" spans="1:12" x14ac:dyDescent="0.25">
      <c r="I791" s="7" t="s">
        <v>332</v>
      </c>
      <c r="J791" s="5">
        <v>20000</v>
      </c>
    </row>
    <row r="793" spans="1:12" x14ac:dyDescent="0.25">
      <c r="I793" s="7" t="s">
        <v>20</v>
      </c>
      <c r="J793" s="5">
        <f>SUM(J787:J792)</f>
        <v>230000</v>
      </c>
    </row>
    <row r="795" spans="1:12" x14ac:dyDescent="0.25">
      <c r="A795" s="1" t="s">
        <v>0</v>
      </c>
      <c r="B795" s="1" t="s">
        <v>1</v>
      </c>
      <c r="C795" s="1" t="s">
        <v>2</v>
      </c>
      <c r="D795" s="1" t="s">
        <v>3</v>
      </c>
      <c r="E795" s="1" t="s">
        <v>4</v>
      </c>
      <c r="F795" s="2" t="s">
        <v>5</v>
      </c>
      <c r="G795" s="3" t="s">
        <v>6</v>
      </c>
      <c r="H795" s="3" t="s">
        <v>7</v>
      </c>
      <c r="I795" s="6" t="s">
        <v>8</v>
      </c>
      <c r="J795" s="2" t="s">
        <v>9</v>
      </c>
      <c r="K795" s="3" t="s">
        <v>10</v>
      </c>
      <c r="L795" s="2" t="s">
        <v>9</v>
      </c>
    </row>
    <row r="796" spans="1:12" x14ac:dyDescent="0.25">
      <c r="A796" s="4">
        <v>45817</v>
      </c>
      <c r="B796" t="s">
        <v>320</v>
      </c>
      <c r="C796" t="s">
        <v>425</v>
      </c>
      <c r="D796" t="s">
        <v>29</v>
      </c>
      <c r="F796" s="5">
        <v>53029</v>
      </c>
      <c r="G796" t="s">
        <v>426</v>
      </c>
      <c r="H796">
        <v>3144098957</v>
      </c>
      <c r="I796" s="7" t="s">
        <v>427</v>
      </c>
      <c r="J796" s="5">
        <v>320000</v>
      </c>
    </row>
    <row r="797" spans="1:12" x14ac:dyDescent="0.25">
      <c r="I797" s="7" t="s">
        <v>77</v>
      </c>
      <c r="J797" s="5">
        <v>22000</v>
      </c>
    </row>
    <row r="799" spans="1:12" x14ac:dyDescent="0.25">
      <c r="I799" s="7" t="s">
        <v>20</v>
      </c>
      <c r="J799" s="5">
        <f>SUM(J796:J798)</f>
        <v>342000</v>
      </c>
    </row>
    <row r="801" spans="1:12" x14ac:dyDescent="0.25">
      <c r="A801" s="1" t="s">
        <v>0</v>
      </c>
      <c r="B801" s="1" t="s">
        <v>1</v>
      </c>
      <c r="C801" s="1" t="s">
        <v>2</v>
      </c>
      <c r="D801" s="1" t="s">
        <v>3</v>
      </c>
      <c r="E801" s="1" t="s">
        <v>4</v>
      </c>
      <c r="F801" s="2" t="s">
        <v>5</v>
      </c>
      <c r="G801" s="3" t="s">
        <v>6</v>
      </c>
      <c r="H801" s="3" t="s">
        <v>7</v>
      </c>
      <c r="I801" s="6" t="s">
        <v>8</v>
      </c>
      <c r="J801" s="2" t="s">
        <v>9</v>
      </c>
      <c r="K801" s="3" t="s">
        <v>10</v>
      </c>
      <c r="L801" s="2" t="s">
        <v>9</v>
      </c>
    </row>
    <row r="802" spans="1:12" x14ac:dyDescent="0.25">
      <c r="A802" s="4">
        <v>45817</v>
      </c>
      <c r="B802" t="s">
        <v>40</v>
      </c>
      <c r="C802" t="s">
        <v>449</v>
      </c>
      <c r="D802" t="s">
        <v>13</v>
      </c>
      <c r="F802" s="5">
        <v>72671</v>
      </c>
      <c r="I802" s="7" t="s">
        <v>312</v>
      </c>
      <c r="J802" s="5">
        <v>90000</v>
      </c>
    </row>
    <row r="803" spans="1:12" x14ac:dyDescent="0.25">
      <c r="I803" s="7" t="s">
        <v>100</v>
      </c>
      <c r="J803" s="5">
        <v>30000</v>
      </c>
    </row>
    <row r="804" spans="1:12" x14ac:dyDescent="0.25">
      <c r="I804" s="7" t="s">
        <v>450</v>
      </c>
      <c r="J804" s="5">
        <v>15000</v>
      </c>
    </row>
    <row r="805" spans="1:12" x14ac:dyDescent="0.25">
      <c r="I805" s="7" t="s">
        <v>451</v>
      </c>
      <c r="J805" s="5">
        <v>60000</v>
      </c>
    </row>
    <row r="807" spans="1:12" x14ac:dyDescent="0.25">
      <c r="I807" s="7" t="s">
        <v>20</v>
      </c>
      <c r="J807" s="5">
        <f>SUM(J802:J806)</f>
        <v>195000</v>
      </c>
    </row>
    <row r="809" spans="1:12" x14ac:dyDescent="0.25">
      <c r="A809" s="1" t="s">
        <v>0</v>
      </c>
      <c r="B809" s="1" t="s">
        <v>1</v>
      </c>
      <c r="C809" s="1" t="s">
        <v>2</v>
      </c>
      <c r="D809" s="1" t="s">
        <v>3</v>
      </c>
      <c r="E809" s="1" t="s">
        <v>4</v>
      </c>
      <c r="F809" s="2" t="s">
        <v>5</v>
      </c>
      <c r="G809" s="3" t="s">
        <v>6</v>
      </c>
      <c r="H809" s="3" t="s">
        <v>7</v>
      </c>
      <c r="I809" s="6" t="s">
        <v>8</v>
      </c>
      <c r="J809" s="2" t="s">
        <v>9</v>
      </c>
      <c r="K809" s="3" t="s">
        <v>10</v>
      </c>
      <c r="L809" s="2" t="s">
        <v>9</v>
      </c>
    </row>
    <row r="810" spans="1:12" x14ac:dyDescent="0.25">
      <c r="A810" s="4">
        <v>45818</v>
      </c>
      <c r="B810" t="s">
        <v>393</v>
      </c>
      <c r="C810" t="s">
        <v>446</v>
      </c>
      <c r="D810" t="s">
        <v>84</v>
      </c>
      <c r="F810" s="5">
        <v>72658</v>
      </c>
      <c r="G810" t="s">
        <v>447</v>
      </c>
      <c r="I810" s="7" t="s">
        <v>448</v>
      </c>
      <c r="J810" s="5">
        <v>350000</v>
      </c>
    </row>
    <row r="811" spans="1:12" x14ac:dyDescent="0.25">
      <c r="I811" s="7" t="s">
        <v>100</v>
      </c>
      <c r="J811" s="5">
        <v>80000</v>
      </c>
    </row>
    <row r="813" spans="1:12" x14ac:dyDescent="0.25">
      <c r="I813" s="7" t="s">
        <v>20</v>
      </c>
      <c r="J813" s="5">
        <f>SUM(J810:J812)</f>
        <v>430000</v>
      </c>
    </row>
    <row r="815" spans="1:12" x14ac:dyDescent="0.25">
      <c r="A815" s="1" t="s">
        <v>0</v>
      </c>
      <c r="B815" s="1" t="s">
        <v>1</v>
      </c>
      <c r="C815" s="1" t="s">
        <v>2</v>
      </c>
      <c r="D815" s="1" t="s">
        <v>3</v>
      </c>
      <c r="E815" s="1" t="s">
        <v>4</v>
      </c>
      <c r="F815" s="2" t="s">
        <v>5</v>
      </c>
      <c r="G815" s="3" t="s">
        <v>6</v>
      </c>
      <c r="H815" s="3" t="s">
        <v>7</v>
      </c>
      <c r="I815" s="6" t="s">
        <v>8</v>
      </c>
      <c r="J815" s="2" t="s">
        <v>9</v>
      </c>
      <c r="K815" s="3" t="s">
        <v>10</v>
      </c>
      <c r="L815" s="2" t="s">
        <v>9</v>
      </c>
    </row>
    <row r="816" spans="1:12" x14ac:dyDescent="0.25">
      <c r="A816" s="4">
        <v>45818</v>
      </c>
      <c r="B816" t="s">
        <v>454</v>
      </c>
      <c r="C816" t="s">
        <v>477</v>
      </c>
      <c r="D816" t="s">
        <v>23</v>
      </c>
      <c r="E816">
        <v>2010</v>
      </c>
      <c r="F816" s="5">
        <v>66100</v>
      </c>
      <c r="G816" t="s">
        <v>455</v>
      </c>
      <c r="H816">
        <v>3143430568</v>
      </c>
      <c r="I816" s="7" t="s">
        <v>17</v>
      </c>
      <c r="J816" s="5">
        <v>30000</v>
      </c>
    </row>
    <row r="817" spans="1:12" x14ac:dyDescent="0.25">
      <c r="I817" s="7" t="s">
        <v>18</v>
      </c>
      <c r="J817" s="5">
        <v>120000</v>
      </c>
    </row>
    <row r="818" spans="1:12" x14ac:dyDescent="0.25">
      <c r="I818" s="7" t="s">
        <v>25</v>
      </c>
      <c r="J818" s="5">
        <v>80000</v>
      </c>
    </row>
    <row r="819" spans="1:12" x14ac:dyDescent="0.25">
      <c r="I819" s="7" t="s">
        <v>26</v>
      </c>
      <c r="J819" s="5">
        <v>80000</v>
      </c>
    </row>
    <row r="820" spans="1:12" x14ac:dyDescent="0.25">
      <c r="I820" s="7" t="s">
        <v>456</v>
      </c>
      <c r="J820" s="5">
        <v>150000</v>
      </c>
    </row>
    <row r="821" spans="1:12" x14ac:dyDescent="0.25">
      <c r="I821" s="7" t="s">
        <v>273</v>
      </c>
      <c r="J821" s="5">
        <v>10000</v>
      </c>
    </row>
    <row r="822" spans="1:12" x14ac:dyDescent="0.25">
      <c r="I822" s="7" t="s">
        <v>100</v>
      </c>
      <c r="J822" s="5">
        <v>80000</v>
      </c>
    </row>
    <row r="824" spans="1:12" x14ac:dyDescent="0.25">
      <c r="I824" s="7" t="s">
        <v>20</v>
      </c>
      <c r="J824" s="5">
        <f>SUM(J816:J823)</f>
        <v>550000</v>
      </c>
    </row>
    <row r="826" spans="1:12" x14ac:dyDescent="0.25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4</v>
      </c>
      <c r="F826" s="2" t="s">
        <v>5</v>
      </c>
      <c r="G826" s="3" t="s">
        <v>6</v>
      </c>
      <c r="H826" s="3" t="s">
        <v>7</v>
      </c>
      <c r="I826" s="6" t="s">
        <v>8</v>
      </c>
      <c r="J826" s="2" t="s">
        <v>9</v>
      </c>
      <c r="K826" s="3" t="s">
        <v>10</v>
      </c>
      <c r="L826" s="2" t="s">
        <v>9</v>
      </c>
    </row>
    <row r="827" spans="1:12" x14ac:dyDescent="0.25">
      <c r="A827" s="4">
        <v>45818</v>
      </c>
      <c r="B827" t="s">
        <v>504</v>
      </c>
      <c r="C827" t="s">
        <v>505</v>
      </c>
      <c r="D827" t="s">
        <v>29</v>
      </c>
      <c r="E827">
        <v>2023</v>
      </c>
      <c r="F827" s="5">
        <v>56648</v>
      </c>
      <c r="G827" t="s">
        <v>506</v>
      </c>
      <c r="H827">
        <v>3132343780</v>
      </c>
      <c r="I827" s="7" t="s">
        <v>16</v>
      </c>
      <c r="J827" s="5">
        <v>270000</v>
      </c>
    </row>
    <row r="828" spans="1:12" x14ac:dyDescent="0.25">
      <c r="I828" s="7" t="s">
        <v>25</v>
      </c>
      <c r="J828" s="5">
        <v>40000</v>
      </c>
    </row>
    <row r="829" spans="1:12" x14ac:dyDescent="0.25">
      <c r="I829" s="7" t="s">
        <v>77</v>
      </c>
      <c r="J829" s="5">
        <v>22000</v>
      </c>
    </row>
    <row r="831" spans="1:12" x14ac:dyDescent="0.25">
      <c r="I831" s="7" t="s">
        <v>20</v>
      </c>
      <c r="J831" s="5">
        <f>SUM(J827:J830)</f>
        <v>332000</v>
      </c>
    </row>
    <row r="833" spans="1:12" x14ac:dyDescent="0.25">
      <c r="A833" s="1" t="s">
        <v>0</v>
      </c>
      <c r="B833" s="1" t="s">
        <v>1</v>
      </c>
      <c r="C833" s="1" t="s">
        <v>2</v>
      </c>
      <c r="D833" s="1" t="s">
        <v>3</v>
      </c>
      <c r="E833" s="1" t="s">
        <v>4</v>
      </c>
      <c r="F833" s="2" t="s">
        <v>5</v>
      </c>
      <c r="G833" s="3" t="s">
        <v>6</v>
      </c>
      <c r="H833" s="3" t="s">
        <v>7</v>
      </c>
      <c r="I833" s="6" t="s">
        <v>8</v>
      </c>
      <c r="J833" s="2" t="s">
        <v>9</v>
      </c>
      <c r="K833" s="3" t="s">
        <v>10</v>
      </c>
      <c r="L833" s="2" t="s">
        <v>9</v>
      </c>
    </row>
    <row r="834" spans="1:12" x14ac:dyDescent="0.25">
      <c r="A834" s="4">
        <v>45818</v>
      </c>
      <c r="B834" t="s">
        <v>1188</v>
      </c>
      <c r="G834" t="s">
        <v>1189</v>
      </c>
      <c r="I834" s="7" t="s">
        <v>1190</v>
      </c>
    </row>
    <row r="835" spans="1:12" x14ac:dyDescent="0.25">
      <c r="I835" s="7" t="s">
        <v>444</v>
      </c>
    </row>
    <row r="837" spans="1:12" x14ac:dyDescent="0.25">
      <c r="I837" s="7" t="s">
        <v>20</v>
      </c>
    </row>
    <row r="839" spans="1:12" x14ac:dyDescent="0.25">
      <c r="A839" s="1" t="s">
        <v>0</v>
      </c>
      <c r="B839" s="1" t="s">
        <v>1</v>
      </c>
      <c r="C839" s="1" t="s">
        <v>2</v>
      </c>
      <c r="D839" s="1" t="s">
        <v>3</v>
      </c>
      <c r="E839" s="1" t="s">
        <v>4</v>
      </c>
      <c r="F839" s="2" t="s">
        <v>5</v>
      </c>
      <c r="G839" s="3" t="s">
        <v>6</v>
      </c>
      <c r="H839" s="3" t="s">
        <v>7</v>
      </c>
      <c r="I839" s="6" t="s">
        <v>8</v>
      </c>
      <c r="J839" s="2" t="s">
        <v>9</v>
      </c>
      <c r="K839" s="3" t="s">
        <v>10</v>
      </c>
      <c r="L839" s="2" t="s">
        <v>9</v>
      </c>
    </row>
    <row r="840" spans="1:12" x14ac:dyDescent="0.25">
      <c r="A840" s="4">
        <v>45819</v>
      </c>
      <c r="B840" t="s">
        <v>445</v>
      </c>
      <c r="C840" t="s">
        <v>452</v>
      </c>
      <c r="D840" t="s">
        <v>29</v>
      </c>
      <c r="F840" s="5">
        <v>86825</v>
      </c>
      <c r="G840" t="s">
        <v>453</v>
      </c>
      <c r="H840">
        <v>3202050801</v>
      </c>
      <c r="I840" s="7" t="s">
        <v>17</v>
      </c>
      <c r="J840" s="5">
        <v>207000</v>
      </c>
    </row>
    <row r="841" spans="1:12" x14ac:dyDescent="0.25">
      <c r="I841" s="7" t="s">
        <v>18</v>
      </c>
      <c r="J841" s="5">
        <v>56000</v>
      </c>
    </row>
    <row r="842" spans="1:12" x14ac:dyDescent="0.25">
      <c r="I842" s="7" t="s">
        <v>100</v>
      </c>
      <c r="J842" s="5">
        <v>100000</v>
      </c>
    </row>
    <row r="843" spans="1:12" x14ac:dyDescent="0.25">
      <c r="I843" s="7" t="s">
        <v>48</v>
      </c>
      <c r="J843" s="5">
        <v>140000</v>
      </c>
    </row>
    <row r="845" spans="1:12" x14ac:dyDescent="0.25">
      <c r="I845" s="7" t="s">
        <v>20</v>
      </c>
      <c r="J845" s="5">
        <f>SUM(J840:J844)</f>
        <v>503000</v>
      </c>
    </row>
    <row r="847" spans="1:12" x14ac:dyDescent="0.25">
      <c r="A847" s="1" t="s">
        <v>0</v>
      </c>
      <c r="B847" s="1" t="s">
        <v>1</v>
      </c>
      <c r="C847" s="1" t="s">
        <v>2</v>
      </c>
      <c r="D847" s="1" t="s">
        <v>3</v>
      </c>
      <c r="E847" s="1" t="s">
        <v>4</v>
      </c>
      <c r="F847" s="2" t="s">
        <v>5</v>
      </c>
      <c r="G847" s="3" t="s">
        <v>6</v>
      </c>
      <c r="H847" s="3" t="s">
        <v>7</v>
      </c>
      <c r="I847" s="6" t="s">
        <v>8</v>
      </c>
      <c r="J847" s="2" t="s">
        <v>9</v>
      </c>
      <c r="K847" s="3" t="s">
        <v>10</v>
      </c>
      <c r="L847" s="2" t="s">
        <v>9</v>
      </c>
    </row>
    <row r="848" spans="1:12" x14ac:dyDescent="0.25">
      <c r="A848" s="4">
        <v>45819</v>
      </c>
      <c r="B848" t="s">
        <v>457</v>
      </c>
      <c r="C848" t="s">
        <v>458</v>
      </c>
      <c r="D848" t="s">
        <v>53</v>
      </c>
      <c r="E848">
        <v>2014</v>
      </c>
      <c r="F848" s="5">
        <v>51225</v>
      </c>
      <c r="G848" t="s">
        <v>459</v>
      </c>
      <c r="H848">
        <v>3225949110</v>
      </c>
      <c r="I848" s="7" t="s">
        <v>15</v>
      </c>
      <c r="J848" s="5">
        <v>280000</v>
      </c>
    </row>
    <row r="849" spans="1:12" x14ac:dyDescent="0.25">
      <c r="I849" s="7" t="s">
        <v>16</v>
      </c>
      <c r="J849" s="5">
        <v>390000</v>
      </c>
    </row>
    <row r="850" spans="1:12" x14ac:dyDescent="0.25">
      <c r="I850" s="7" t="s">
        <v>460</v>
      </c>
      <c r="J850" s="5">
        <v>480000</v>
      </c>
    </row>
    <row r="851" spans="1:12" x14ac:dyDescent="0.25">
      <c r="I851" s="7" t="s">
        <v>461</v>
      </c>
      <c r="J851" s="5">
        <v>110000</v>
      </c>
    </row>
    <row r="852" spans="1:12" x14ac:dyDescent="0.25">
      <c r="I852" s="7" t="s">
        <v>93</v>
      </c>
      <c r="J852" s="5">
        <v>650000</v>
      </c>
    </row>
    <row r="853" spans="1:12" x14ac:dyDescent="0.25">
      <c r="I853" s="7" t="s">
        <v>398</v>
      </c>
      <c r="J853" s="5">
        <v>80000</v>
      </c>
    </row>
    <row r="855" spans="1:12" x14ac:dyDescent="0.25">
      <c r="I855" s="7" t="s">
        <v>20</v>
      </c>
      <c r="J855" s="5">
        <f>SUM(J848:J854)</f>
        <v>1990000</v>
      </c>
    </row>
    <row r="857" spans="1:12" x14ac:dyDescent="0.25">
      <c r="A857" s="1" t="s">
        <v>0</v>
      </c>
      <c r="B857" s="1" t="s">
        <v>1</v>
      </c>
      <c r="C857" s="1" t="s">
        <v>2</v>
      </c>
      <c r="D857" s="1" t="s">
        <v>3</v>
      </c>
      <c r="E857" s="1" t="s">
        <v>4</v>
      </c>
      <c r="F857" s="2" t="s">
        <v>5</v>
      </c>
      <c r="G857" s="3" t="s">
        <v>6</v>
      </c>
      <c r="H857" s="3" t="s">
        <v>7</v>
      </c>
      <c r="I857" s="6" t="s">
        <v>8</v>
      </c>
      <c r="J857" s="2" t="s">
        <v>9</v>
      </c>
      <c r="K857" s="3" t="s">
        <v>10</v>
      </c>
      <c r="L857" s="2" t="s">
        <v>9</v>
      </c>
    </row>
    <row r="858" spans="1:12" x14ac:dyDescent="0.25">
      <c r="A858" s="4">
        <v>45819</v>
      </c>
      <c r="B858" t="s">
        <v>21</v>
      </c>
      <c r="C858" t="s">
        <v>462</v>
      </c>
      <c r="D858" t="s">
        <v>463</v>
      </c>
      <c r="E858">
        <v>2015</v>
      </c>
      <c r="F858" s="5">
        <v>128765</v>
      </c>
      <c r="G858" t="s">
        <v>459</v>
      </c>
      <c r="H858">
        <v>3225949110</v>
      </c>
      <c r="I858" s="7" t="s">
        <v>464</v>
      </c>
      <c r="J858" s="5">
        <v>1500000</v>
      </c>
    </row>
    <row r="859" spans="1:12" x14ac:dyDescent="0.25">
      <c r="I859" s="7" t="s">
        <v>465</v>
      </c>
      <c r="J859" s="5">
        <v>40000</v>
      </c>
    </row>
    <row r="860" spans="1:12" x14ac:dyDescent="0.25">
      <c r="I860" s="7" t="s">
        <v>16</v>
      </c>
      <c r="J860" s="5">
        <v>390000</v>
      </c>
    </row>
    <row r="861" spans="1:12" x14ac:dyDescent="0.25">
      <c r="I861" s="7" t="s">
        <v>191</v>
      </c>
      <c r="J861" s="5">
        <v>44000</v>
      </c>
    </row>
    <row r="862" spans="1:12" x14ac:dyDescent="0.25">
      <c r="I862" s="7" t="s">
        <v>466</v>
      </c>
      <c r="J862" s="5">
        <v>192000</v>
      </c>
    </row>
    <row r="863" spans="1:12" x14ac:dyDescent="0.25">
      <c r="I863" s="7" t="s">
        <v>18</v>
      </c>
      <c r="J863" s="5">
        <v>46000</v>
      </c>
    </row>
    <row r="864" spans="1:12" x14ac:dyDescent="0.25">
      <c r="I864" s="7" t="s">
        <v>467</v>
      </c>
      <c r="J864" s="5">
        <v>30000</v>
      </c>
    </row>
    <row r="865" spans="9:10" x14ac:dyDescent="0.25">
      <c r="I865" s="7" t="s">
        <v>108</v>
      </c>
      <c r="J865" s="5">
        <v>150000</v>
      </c>
    </row>
    <row r="866" spans="9:10" x14ac:dyDescent="0.25">
      <c r="I866" s="7" t="s">
        <v>468</v>
      </c>
      <c r="J866" s="5">
        <v>160000</v>
      </c>
    </row>
    <row r="867" spans="9:10" x14ac:dyDescent="0.25">
      <c r="I867" s="7" t="s">
        <v>469</v>
      </c>
      <c r="J867" s="5">
        <v>90000</v>
      </c>
    </row>
    <row r="868" spans="9:10" x14ac:dyDescent="0.25">
      <c r="I868" s="7" t="s">
        <v>470</v>
      </c>
      <c r="J868" s="5">
        <v>40000</v>
      </c>
    </row>
    <row r="869" spans="9:10" x14ac:dyDescent="0.25">
      <c r="I869" s="7" t="s">
        <v>141</v>
      </c>
      <c r="J869" s="5">
        <v>120000</v>
      </c>
    </row>
    <row r="870" spans="9:10" x14ac:dyDescent="0.25">
      <c r="I870" s="7" t="s">
        <v>88</v>
      </c>
      <c r="J870" s="5">
        <v>300000</v>
      </c>
    </row>
    <row r="871" spans="9:10" x14ac:dyDescent="0.25">
      <c r="I871" s="7" t="s">
        <v>105</v>
      </c>
      <c r="J871" s="5">
        <v>60000</v>
      </c>
    </row>
    <row r="872" spans="9:10" x14ac:dyDescent="0.25">
      <c r="I872" s="7" t="s">
        <v>471</v>
      </c>
      <c r="J872" s="5">
        <v>12000</v>
      </c>
    </row>
    <row r="873" spans="9:10" x14ac:dyDescent="0.25">
      <c r="I873" s="7" t="s">
        <v>472</v>
      </c>
      <c r="J873" s="5">
        <v>12000</v>
      </c>
    </row>
    <row r="874" spans="9:10" x14ac:dyDescent="0.25">
      <c r="I874" s="7" t="s">
        <v>473</v>
      </c>
      <c r="J874" s="5">
        <v>180000</v>
      </c>
    </row>
    <row r="875" spans="9:10" x14ac:dyDescent="0.25">
      <c r="I875" s="7" t="s">
        <v>48</v>
      </c>
      <c r="J875" s="5">
        <v>120000</v>
      </c>
    </row>
    <row r="876" spans="9:10" x14ac:dyDescent="0.25">
      <c r="I876" s="7" t="s">
        <v>77</v>
      </c>
      <c r="J876" s="5">
        <v>22000</v>
      </c>
    </row>
    <row r="877" spans="9:10" x14ac:dyDescent="0.25">
      <c r="I877" s="7" t="s">
        <v>474</v>
      </c>
      <c r="J877" s="5">
        <v>25000</v>
      </c>
    </row>
    <row r="878" spans="9:10" x14ac:dyDescent="0.25">
      <c r="I878" s="7" t="s">
        <v>475</v>
      </c>
      <c r="J878" s="5">
        <v>120000</v>
      </c>
    </row>
    <row r="879" spans="9:10" x14ac:dyDescent="0.25">
      <c r="I879" s="7" t="s">
        <v>476</v>
      </c>
      <c r="J879" s="5">
        <v>180000</v>
      </c>
    </row>
    <row r="880" spans="9:10" x14ac:dyDescent="0.25">
      <c r="I880" s="7" t="s">
        <v>26</v>
      </c>
      <c r="J880" s="5">
        <v>120000</v>
      </c>
    </row>
    <row r="881" spans="1:12" x14ac:dyDescent="0.25">
      <c r="I881" s="7" t="s">
        <v>245</v>
      </c>
      <c r="J881" s="5">
        <v>150000</v>
      </c>
    </row>
    <row r="883" spans="1:12" x14ac:dyDescent="0.25">
      <c r="I883" s="7" t="s">
        <v>20</v>
      </c>
      <c r="J883" s="5">
        <f>SUM(J858:J882)</f>
        <v>4103000</v>
      </c>
    </row>
    <row r="885" spans="1:12" x14ac:dyDescent="0.25">
      <c r="A885" s="1" t="s">
        <v>0</v>
      </c>
      <c r="B885" s="1" t="s">
        <v>1</v>
      </c>
      <c r="C885" s="1" t="s">
        <v>2</v>
      </c>
      <c r="D885" s="1" t="s">
        <v>3</v>
      </c>
      <c r="E885" s="1" t="s">
        <v>4</v>
      </c>
      <c r="F885" s="2" t="s">
        <v>5</v>
      </c>
      <c r="G885" s="3" t="s">
        <v>6</v>
      </c>
      <c r="H885" s="3" t="s">
        <v>7</v>
      </c>
      <c r="I885" s="6" t="s">
        <v>8</v>
      </c>
      <c r="J885" s="2" t="s">
        <v>9</v>
      </c>
      <c r="K885" s="3" t="s">
        <v>10</v>
      </c>
      <c r="L885" s="2" t="s">
        <v>9</v>
      </c>
    </row>
    <row r="886" spans="1:12" x14ac:dyDescent="0.25">
      <c r="A886" s="4">
        <v>45819</v>
      </c>
      <c r="B886" t="s">
        <v>51</v>
      </c>
      <c r="C886" t="s">
        <v>52</v>
      </c>
      <c r="D886" t="s">
        <v>53</v>
      </c>
      <c r="F886" s="5">
        <v>65251</v>
      </c>
      <c r="G886" t="s">
        <v>431</v>
      </c>
      <c r="I886" s="7" t="s">
        <v>77</v>
      </c>
      <c r="J886" s="5">
        <v>22000</v>
      </c>
    </row>
    <row r="887" spans="1:12" x14ac:dyDescent="0.25">
      <c r="I887" s="7" t="s">
        <v>432</v>
      </c>
      <c r="J887" s="5">
        <v>80000</v>
      </c>
    </row>
    <row r="888" spans="1:12" x14ac:dyDescent="0.25">
      <c r="I888" s="7" t="s">
        <v>433</v>
      </c>
      <c r="J888" s="5">
        <v>30000</v>
      </c>
    </row>
    <row r="889" spans="1:12" x14ac:dyDescent="0.25">
      <c r="I889" s="7" t="s">
        <v>434</v>
      </c>
      <c r="J889" s="5">
        <v>30000</v>
      </c>
    </row>
    <row r="891" spans="1:12" x14ac:dyDescent="0.25">
      <c r="I891" s="7" t="s">
        <v>20</v>
      </c>
      <c r="J891" s="5">
        <f>SUM(J886:J890)</f>
        <v>162000</v>
      </c>
    </row>
    <row r="893" spans="1:12" x14ac:dyDescent="0.25">
      <c r="A893" s="1" t="s">
        <v>0</v>
      </c>
      <c r="B893" s="1" t="s">
        <v>1</v>
      </c>
      <c r="C893" s="1" t="s">
        <v>2</v>
      </c>
      <c r="D893" s="1" t="s">
        <v>3</v>
      </c>
      <c r="E893" s="1" t="s">
        <v>4</v>
      </c>
      <c r="F893" s="2" t="s">
        <v>5</v>
      </c>
      <c r="G893" s="3" t="s">
        <v>6</v>
      </c>
      <c r="H893" s="3" t="s">
        <v>7</v>
      </c>
      <c r="I893" s="6" t="s">
        <v>8</v>
      </c>
      <c r="J893" s="2" t="s">
        <v>9</v>
      </c>
      <c r="K893" s="3" t="s">
        <v>10</v>
      </c>
      <c r="L893" s="2" t="s">
        <v>9</v>
      </c>
    </row>
    <row r="894" spans="1:12" x14ac:dyDescent="0.25">
      <c r="A894" s="4">
        <v>45819</v>
      </c>
      <c r="B894" t="s">
        <v>21</v>
      </c>
      <c r="C894" t="s">
        <v>295</v>
      </c>
      <c r="D894" t="s">
        <v>23</v>
      </c>
      <c r="E894">
        <v>2010</v>
      </c>
      <c r="F894" s="5">
        <v>127726</v>
      </c>
      <c r="G894" t="s">
        <v>296</v>
      </c>
      <c r="I894" s="7" t="s">
        <v>105</v>
      </c>
      <c r="J894" s="5">
        <v>150000</v>
      </c>
    </row>
    <row r="895" spans="1:12" x14ac:dyDescent="0.25">
      <c r="I895" s="7" t="s">
        <v>353</v>
      </c>
      <c r="J895" s="5">
        <v>40000</v>
      </c>
    </row>
    <row r="897" spans="1:12" x14ac:dyDescent="0.25">
      <c r="I897" s="7" t="s">
        <v>20</v>
      </c>
      <c r="J897" s="5">
        <f>SUM(J894:J896)</f>
        <v>190000</v>
      </c>
    </row>
    <row r="899" spans="1:12" x14ac:dyDescent="0.25">
      <c r="A899" s="1" t="s">
        <v>0</v>
      </c>
      <c r="B899" s="1" t="s">
        <v>1</v>
      </c>
      <c r="C899" s="1" t="s">
        <v>2</v>
      </c>
      <c r="D899" s="1" t="s">
        <v>3</v>
      </c>
      <c r="E899" s="1" t="s">
        <v>4</v>
      </c>
      <c r="F899" s="2" t="s">
        <v>5</v>
      </c>
      <c r="G899" s="3" t="s">
        <v>6</v>
      </c>
      <c r="H899" s="3" t="s">
        <v>7</v>
      </c>
      <c r="I899" s="6" t="s">
        <v>8</v>
      </c>
      <c r="J899" s="2" t="s">
        <v>9</v>
      </c>
      <c r="K899" s="3" t="s">
        <v>10</v>
      </c>
      <c r="L899" s="2" t="s">
        <v>9</v>
      </c>
    </row>
    <row r="900" spans="1:12" x14ac:dyDescent="0.25">
      <c r="A900" s="4">
        <v>45820</v>
      </c>
      <c r="B900" t="s">
        <v>478</v>
      </c>
      <c r="C900" t="s">
        <v>161</v>
      </c>
      <c r="D900" t="s">
        <v>53</v>
      </c>
      <c r="G900" t="s">
        <v>162</v>
      </c>
      <c r="I900" s="7" t="s">
        <v>114</v>
      </c>
      <c r="J900" s="5">
        <v>15000</v>
      </c>
    </row>
    <row r="901" spans="1:12" x14ac:dyDescent="0.25">
      <c r="I901" s="7" t="s">
        <v>479</v>
      </c>
      <c r="J901" s="5">
        <v>45000</v>
      </c>
    </row>
    <row r="902" spans="1:12" x14ac:dyDescent="0.25">
      <c r="I902" s="7" t="s">
        <v>480</v>
      </c>
      <c r="J902" s="5">
        <v>40000</v>
      </c>
    </row>
    <row r="903" spans="1:12" x14ac:dyDescent="0.25">
      <c r="I903" s="7" t="s">
        <v>77</v>
      </c>
      <c r="J903" s="5">
        <v>22000</v>
      </c>
    </row>
    <row r="904" spans="1:12" x14ac:dyDescent="0.25">
      <c r="I904" s="7" t="s">
        <v>481</v>
      </c>
      <c r="J904" s="5">
        <v>50000</v>
      </c>
    </row>
    <row r="906" spans="1:12" x14ac:dyDescent="0.25">
      <c r="I906" s="7" t="s">
        <v>20</v>
      </c>
      <c r="J906" s="5">
        <f>SUM(J900:J905)</f>
        <v>172000</v>
      </c>
    </row>
    <row r="908" spans="1:12" x14ac:dyDescent="0.25">
      <c r="A908" s="1" t="s">
        <v>0</v>
      </c>
      <c r="B908" s="1" t="s">
        <v>1</v>
      </c>
      <c r="C908" s="1" t="s">
        <v>2</v>
      </c>
      <c r="D908" s="1" t="s">
        <v>3</v>
      </c>
      <c r="E908" s="1" t="s">
        <v>4</v>
      </c>
      <c r="F908" s="2" t="s">
        <v>5</v>
      </c>
      <c r="G908" s="3" t="s">
        <v>6</v>
      </c>
      <c r="H908" s="3" t="s">
        <v>7</v>
      </c>
      <c r="I908" s="6" t="s">
        <v>8</v>
      </c>
      <c r="J908" s="2" t="s">
        <v>9</v>
      </c>
      <c r="K908" s="3" t="s">
        <v>10</v>
      </c>
      <c r="L908" s="2" t="s">
        <v>9</v>
      </c>
    </row>
    <row r="909" spans="1:12" x14ac:dyDescent="0.25">
      <c r="A909" s="4">
        <v>45820</v>
      </c>
      <c r="B909" t="s">
        <v>89</v>
      </c>
      <c r="C909" t="s">
        <v>507</v>
      </c>
      <c r="D909" t="s">
        <v>53</v>
      </c>
      <c r="G909" t="s">
        <v>508</v>
      </c>
      <c r="H909">
        <v>3102738447</v>
      </c>
      <c r="I909" s="7" t="s">
        <v>509</v>
      </c>
      <c r="J909" s="5">
        <v>600000</v>
      </c>
    </row>
    <row r="910" spans="1:12" x14ac:dyDescent="0.25">
      <c r="I910" s="7" t="s">
        <v>181</v>
      </c>
      <c r="J910" s="5">
        <v>550000</v>
      </c>
    </row>
    <row r="911" spans="1:12" x14ac:dyDescent="0.25">
      <c r="I911" s="7" t="s">
        <v>510</v>
      </c>
      <c r="J911" s="5">
        <v>250000</v>
      </c>
    </row>
    <row r="912" spans="1:12" x14ac:dyDescent="0.25">
      <c r="I912" s="7" t="s">
        <v>511</v>
      </c>
      <c r="J912" s="5">
        <v>40000</v>
      </c>
    </row>
    <row r="913" spans="1:12" x14ac:dyDescent="0.25">
      <c r="I913" s="7" t="s">
        <v>512</v>
      </c>
      <c r="J913" s="5">
        <v>30000</v>
      </c>
    </row>
    <row r="914" spans="1:12" x14ac:dyDescent="0.25">
      <c r="I914" s="7" t="s">
        <v>470</v>
      </c>
      <c r="J914" s="5">
        <v>40000</v>
      </c>
    </row>
    <row r="916" spans="1:12" x14ac:dyDescent="0.25">
      <c r="I916" s="7" t="s">
        <v>20</v>
      </c>
      <c r="J916" s="5">
        <f>SUM(J909:J915)</f>
        <v>1510000</v>
      </c>
    </row>
    <row r="918" spans="1:12" x14ac:dyDescent="0.25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2" t="s">
        <v>5</v>
      </c>
      <c r="G918" s="3" t="s">
        <v>6</v>
      </c>
      <c r="H918" s="3" t="s">
        <v>7</v>
      </c>
      <c r="I918" s="6" t="s">
        <v>8</v>
      </c>
      <c r="J918" s="2" t="s">
        <v>9</v>
      </c>
      <c r="K918" s="3" t="s">
        <v>10</v>
      </c>
      <c r="L918" s="2" t="s">
        <v>9</v>
      </c>
    </row>
    <row r="919" spans="1:12" x14ac:dyDescent="0.25">
      <c r="A919" s="4">
        <v>45821</v>
      </c>
      <c r="B919" t="s">
        <v>94</v>
      </c>
      <c r="C919" t="s">
        <v>1166</v>
      </c>
      <c r="D919" t="s">
        <v>29</v>
      </c>
      <c r="E919">
        <v>2023</v>
      </c>
      <c r="G919" t="s">
        <v>1167</v>
      </c>
      <c r="H919">
        <v>3118135314</v>
      </c>
      <c r="I919" s="7" t="s">
        <v>920</v>
      </c>
    </row>
    <row r="920" spans="1:12" x14ac:dyDescent="0.25">
      <c r="I920" s="7" t="s">
        <v>924</v>
      </c>
    </row>
    <row r="921" spans="1:12" x14ac:dyDescent="0.25">
      <c r="I921" s="7" t="s">
        <v>1168</v>
      </c>
    </row>
    <row r="922" spans="1:12" x14ac:dyDescent="0.25">
      <c r="I922" s="7" t="s">
        <v>77</v>
      </c>
    </row>
    <row r="924" spans="1:12" x14ac:dyDescent="0.25">
      <c r="I924" s="7" t="s">
        <v>20</v>
      </c>
    </row>
    <row r="926" spans="1:12" x14ac:dyDescent="0.25">
      <c r="A926" s="1" t="s">
        <v>0</v>
      </c>
      <c r="B926" s="1" t="s">
        <v>1</v>
      </c>
      <c r="C926" s="1" t="s">
        <v>2</v>
      </c>
      <c r="D926" s="1" t="s">
        <v>3</v>
      </c>
      <c r="E926" s="1" t="s">
        <v>4</v>
      </c>
      <c r="F926" s="2" t="s">
        <v>5</v>
      </c>
      <c r="G926" s="3" t="s">
        <v>6</v>
      </c>
      <c r="H926" s="3" t="s">
        <v>7</v>
      </c>
      <c r="I926" s="6" t="s">
        <v>8</v>
      </c>
      <c r="J926" s="2" t="s">
        <v>9</v>
      </c>
      <c r="K926" s="3" t="s">
        <v>10</v>
      </c>
      <c r="L926" s="2" t="s">
        <v>9</v>
      </c>
    </row>
    <row r="927" spans="1:12" x14ac:dyDescent="0.25">
      <c r="A927" s="4">
        <v>45821</v>
      </c>
      <c r="B927" t="s">
        <v>82</v>
      </c>
      <c r="C927" t="s">
        <v>1200</v>
      </c>
      <c r="D927" t="s">
        <v>84</v>
      </c>
      <c r="E927">
        <v>2024</v>
      </c>
      <c r="G927" t="s">
        <v>1201</v>
      </c>
      <c r="H927">
        <v>3208608925</v>
      </c>
      <c r="I927" s="7" t="s">
        <v>86</v>
      </c>
    </row>
    <row r="928" spans="1:12" x14ac:dyDescent="0.25">
      <c r="I928" s="7" t="s">
        <v>1202</v>
      </c>
    </row>
    <row r="930" spans="1:12" x14ac:dyDescent="0.25">
      <c r="I930" s="7" t="s">
        <v>20</v>
      </c>
    </row>
    <row r="932" spans="1:12" x14ac:dyDescent="0.25">
      <c r="A932" s="1" t="s">
        <v>0</v>
      </c>
      <c r="B932" s="1" t="s">
        <v>1</v>
      </c>
      <c r="C932" s="1" t="s">
        <v>2</v>
      </c>
      <c r="D932" s="1" t="s">
        <v>3</v>
      </c>
      <c r="E932" s="1" t="s">
        <v>4</v>
      </c>
      <c r="F932" s="2" t="s">
        <v>5</v>
      </c>
      <c r="G932" s="3" t="s">
        <v>6</v>
      </c>
      <c r="H932" s="3" t="s">
        <v>7</v>
      </c>
      <c r="I932" s="6" t="s">
        <v>8</v>
      </c>
      <c r="J932" s="2" t="s">
        <v>9</v>
      </c>
      <c r="K932" s="3" t="s">
        <v>10</v>
      </c>
      <c r="L932" s="2" t="s">
        <v>9</v>
      </c>
    </row>
    <row r="933" spans="1:12" x14ac:dyDescent="0.25">
      <c r="A933" s="4">
        <v>45822</v>
      </c>
      <c r="B933" t="s">
        <v>21</v>
      </c>
      <c r="C933" t="s">
        <v>513</v>
      </c>
      <c r="D933" t="s">
        <v>153</v>
      </c>
      <c r="F933" s="5">
        <v>44036</v>
      </c>
      <c r="G933" t="s">
        <v>514</v>
      </c>
      <c r="I933" s="7" t="s">
        <v>515</v>
      </c>
      <c r="J933" s="5">
        <v>60000</v>
      </c>
    </row>
    <row r="935" spans="1:12" x14ac:dyDescent="0.25">
      <c r="I935" s="7" t="s">
        <v>20</v>
      </c>
      <c r="J935" s="5">
        <v>60000</v>
      </c>
    </row>
    <row r="937" spans="1:12" x14ac:dyDescent="0.25">
      <c r="A937" s="1" t="s">
        <v>0</v>
      </c>
      <c r="B937" s="1" t="s">
        <v>1</v>
      </c>
      <c r="C937" s="1" t="s">
        <v>2</v>
      </c>
      <c r="D937" s="1" t="s">
        <v>3</v>
      </c>
      <c r="E937" s="1" t="s">
        <v>4</v>
      </c>
      <c r="F937" s="2" t="s">
        <v>5</v>
      </c>
      <c r="G937" s="3" t="s">
        <v>6</v>
      </c>
      <c r="H937" s="3" t="s">
        <v>7</v>
      </c>
      <c r="I937" s="6" t="s">
        <v>8</v>
      </c>
      <c r="J937" s="2" t="s">
        <v>9</v>
      </c>
      <c r="K937" s="3" t="s">
        <v>10</v>
      </c>
      <c r="L937" s="2" t="s">
        <v>9</v>
      </c>
    </row>
    <row r="938" spans="1:12" x14ac:dyDescent="0.25">
      <c r="A938" s="4">
        <v>45822</v>
      </c>
      <c r="B938" t="s">
        <v>21</v>
      </c>
      <c r="C938" t="s">
        <v>516</v>
      </c>
      <c r="D938" t="s">
        <v>153</v>
      </c>
      <c r="F938" s="5">
        <v>90291</v>
      </c>
      <c r="G938" t="s">
        <v>517</v>
      </c>
      <c r="I938" s="7" t="s">
        <v>77</v>
      </c>
      <c r="J938" s="5">
        <v>22000</v>
      </c>
    </row>
    <row r="939" spans="1:12" x14ac:dyDescent="0.25">
      <c r="I939" s="7" t="s">
        <v>518</v>
      </c>
      <c r="J939" s="5">
        <v>30000</v>
      </c>
    </row>
    <row r="940" spans="1:12" x14ac:dyDescent="0.25">
      <c r="I940" s="7" t="s">
        <v>519</v>
      </c>
      <c r="J940" s="5">
        <v>10000</v>
      </c>
    </row>
    <row r="941" spans="1:12" x14ac:dyDescent="0.25">
      <c r="I941" s="7" t="s">
        <v>520</v>
      </c>
      <c r="J941" s="5">
        <v>40000</v>
      </c>
    </row>
    <row r="942" spans="1:12" x14ac:dyDescent="0.25">
      <c r="I942" s="7" t="s">
        <v>521</v>
      </c>
      <c r="J942" s="5">
        <v>120000</v>
      </c>
    </row>
    <row r="944" spans="1:12" x14ac:dyDescent="0.25">
      <c r="I944" s="7" t="s">
        <v>20</v>
      </c>
      <c r="J944" s="5">
        <f>SUM(J938:J943)</f>
        <v>222000</v>
      </c>
    </row>
    <row r="946" spans="1:12" x14ac:dyDescent="0.25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4</v>
      </c>
      <c r="F946" s="2" t="s">
        <v>5</v>
      </c>
      <c r="G946" s="3" t="s">
        <v>6</v>
      </c>
      <c r="H946" s="3" t="s">
        <v>7</v>
      </c>
      <c r="I946" s="6" t="s">
        <v>8</v>
      </c>
      <c r="J946" s="2" t="s">
        <v>9</v>
      </c>
      <c r="K946" s="3" t="s">
        <v>10</v>
      </c>
      <c r="L946" s="2" t="s">
        <v>9</v>
      </c>
    </row>
    <row r="947" spans="1:12" x14ac:dyDescent="0.25">
      <c r="A947" s="4">
        <v>45822</v>
      </c>
      <c r="B947" t="s">
        <v>246</v>
      </c>
      <c r="C947" t="s">
        <v>247</v>
      </c>
      <c r="D947" t="s">
        <v>29</v>
      </c>
      <c r="F947" s="5">
        <v>45162</v>
      </c>
      <c r="G947" t="s">
        <v>522</v>
      </c>
      <c r="I947" s="7" t="s">
        <v>427</v>
      </c>
      <c r="J947" s="5">
        <v>160000</v>
      </c>
    </row>
    <row r="949" spans="1:12" x14ac:dyDescent="0.25">
      <c r="I949" s="7" t="s">
        <v>20</v>
      </c>
      <c r="J949" s="5">
        <v>160000</v>
      </c>
    </row>
    <row r="951" spans="1:12" x14ac:dyDescent="0.25">
      <c r="A951" s="1" t="s">
        <v>0</v>
      </c>
      <c r="B951" s="1" t="s">
        <v>1</v>
      </c>
      <c r="C951" s="1" t="s">
        <v>2</v>
      </c>
      <c r="D951" s="1" t="s">
        <v>3</v>
      </c>
      <c r="E951" s="1" t="s">
        <v>4</v>
      </c>
      <c r="F951" s="2" t="s">
        <v>5</v>
      </c>
      <c r="G951" s="3" t="s">
        <v>6</v>
      </c>
      <c r="H951" s="3" t="s">
        <v>7</v>
      </c>
      <c r="I951" s="6" t="s">
        <v>8</v>
      </c>
      <c r="J951" s="2" t="s">
        <v>9</v>
      </c>
      <c r="K951" s="3" t="s">
        <v>10</v>
      </c>
      <c r="L951" s="2" t="s">
        <v>9</v>
      </c>
    </row>
    <row r="952" spans="1:12" x14ac:dyDescent="0.25">
      <c r="A952" s="4">
        <v>45822</v>
      </c>
      <c r="B952" t="s">
        <v>151</v>
      </c>
      <c r="C952" t="s">
        <v>523</v>
      </c>
      <c r="D952" t="s">
        <v>153</v>
      </c>
      <c r="G952" t="s">
        <v>524</v>
      </c>
      <c r="I952" s="7" t="s">
        <v>525</v>
      </c>
      <c r="J952" s="5">
        <v>6000</v>
      </c>
    </row>
    <row r="953" spans="1:12" x14ac:dyDescent="0.25">
      <c r="I953" s="7" t="s">
        <v>526</v>
      </c>
      <c r="J953" s="5">
        <v>15000</v>
      </c>
    </row>
    <row r="954" spans="1:12" x14ac:dyDescent="0.25">
      <c r="I954" s="7" t="s">
        <v>527</v>
      </c>
      <c r="J954" s="5">
        <v>15000</v>
      </c>
    </row>
    <row r="956" spans="1:12" x14ac:dyDescent="0.25">
      <c r="I956" s="7" t="s">
        <v>20</v>
      </c>
      <c r="J956" s="5">
        <f>SUM(J952:J955)</f>
        <v>36000</v>
      </c>
    </row>
    <row r="958" spans="1:12" x14ac:dyDescent="0.25">
      <c r="A958" s="1" t="s">
        <v>0</v>
      </c>
      <c r="B958" s="1" t="s">
        <v>1</v>
      </c>
      <c r="C958" s="1" t="s">
        <v>2</v>
      </c>
      <c r="D958" s="1" t="s">
        <v>3</v>
      </c>
      <c r="E958" s="1" t="s">
        <v>4</v>
      </c>
      <c r="F958" s="2" t="s">
        <v>5</v>
      </c>
      <c r="G958" s="3" t="s">
        <v>6</v>
      </c>
      <c r="H958" s="3" t="s">
        <v>7</v>
      </c>
      <c r="I958" s="6" t="s">
        <v>8</v>
      </c>
      <c r="J958" s="2" t="s">
        <v>9</v>
      </c>
      <c r="K958" s="3" t="s">
        <v>10</v>
      </c>
      <c r="L958" s="2" t="s">
        <v>9</v>
      </c>
    </row>
    <row r="959" spans="1:12" x14ac:dyDescent="0.25">
      <c r="A959" s="4">
        <v>45824</v>
      </c>
      <c r="B959" t="s">
        <v>528</v>
      </c>
      <c r="C959" t="s">
        <v>529</v>
      </c>
      <c r="E959">
        <v>2021</v>
      </c>
      <c r="F959" s="5">
        <v>28930</v>
      </c>
      <c r="G959" t="s">
        <v>530</v>
      </c>
      <c r="H959">
        <v>3008505634</v>
      </c>
      <c r="I959" s="7" t="s">
        <v>531</v>
      </c>
    </row>
    <row r="960" spans="1:12" x14ac:dyDescent="0.25">
      <c r="I960" s="7" t="s">
        <v>18</v>
      </c>
    </row>
    <row r="962" spans="1:12" x14ac:dyDescent="0.25">
      <c r="I962" s="7" t="s">
        <v>20</v>
      </c>
      <c r="J962" s="5">
        <v>306000</v>
      </c>
    </row>
    <row r="964" spans="1:12" x14ac:dyDescent="0.25">
      <c r="A964" s="1" t="s">
        <v>0</v>
      </c>
      <c r="B964" s="1" t="s">
        <v>1</v>
      </c>
      <c r="C964" s="1" t="s">
        <v>2</v>
      </c>
      <c r="D964" s="1" t="s">
        <v>3</v>
      </c>
      <c r="E964" s="1" t="s">
        <v>4</v>
      </c>
      <c r="F964" s="2" t="s">
        <v>5</v>
      </c>
      <c r="G964" s="3" t="s">
        <v>6</v>
      </c>
      <c r="H964" s="3" t="s">
        <v>7</v>
      </c>
      <c r="I964" s="6" t="s">
        <v>8</v>
      </c>
      <c r="J964" s="2" t="s">
        <v>9</v>
      </c>
      <c r="K964" s="3" t="s">
        <v>10</v>
      </c>
      <c r="L964" s="2" t="s">
        <v>9</v>
      </c>
    </row>
    <row r="965" spans="1:12" x14ac:dyDescent="0.25">
      <c r="A965" s="4">
        <v>45824</v>
      </c>
      <c r="B965" t="s">
        <v>532</v>
      </c>
      <c r="C965" t="s">
        <v>533</v>
      </c>
      <c r="D965" t="s">
        <v>53</v>
      </c>
      <c r="E965">
        <v>2022</v>
      </c>
      <c r="F965" s="5">
        <v>15393</v>
      </c>
      <c r="G965" t="s">
        <v>534</v>
      </c>
      <c r="H965">
        <v>3114616283</v>
      </c>
      <c r="I965" s="7" t="s">
        <v>16</v>
      </c>
      <c r="J965" s="5">
        <v>250000</v>
      </c>
    </row>
    <row r="966" spans="1:12" x14ac:dyDescent="0.25">
      <c r="I966" s="7" t="s">
        <v>17</v>
      </c>
      <c r="J966" s="5">
        <v>48000</v>
      </c>
    </row>
    <row r="967" spans="1:12" x14ac:dyDescent="0.25">
      <c r="I967" s="7" t="s">
        <v>77</v>
      </c>
      <c r="J967" s="5">
        <v>22000</v>
      </c>
    </row>
    <row r="969" spans="1:12" x14ac:dyDescent="0.25">
      <c r="I969" s="7" t="s">
        <v>20</v>
      </c>
      <c r="J969" s="5">
        <f>SUM(J965:J968)</f>
        <v>320000</v>
      </c>
    </row>
    <row r="971" spans="1:12" x14ac:dyDescent="0.2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  <c r="F971" s="2" t="s">
        <v>5</v>
      </c>
      <c r="G971" s="3" t="s">
        <v>6</v>
      </c>
      <c r="H971" s="3" t="s">
        <v>7</v>
      </c>
      <c r="I971" s="6" t="s">
        <v>8</v>
      </c>
      <c r="J971" s="2" t="s">
        <v>9</v>
      </c>
      <c r="K971" s="3" t="s">
        <v>10</v>
      </c>
      <c r="L971" s="2" t="s">
        <v>9</v>
      </c>
    </row>
    <row r="972" spans="1:12" x14ac:dyDescent="0.25">
      <c r="A972" s="4">
        <v>45824</v>
      </c>
      <c r="B972" t="s">
        <v>21</v>
      </c>
      <c r="C972" t="s">
        <v>535</v>
      </c>
      <c r="D972" t="s">
        <v>153</v>
      </c>
      <c r="F972" s="5">
        <v>64718</v>
      </c>
      <c r="I972" s="7" t="s">
        <v>537</v>
      </c>
      <c r="J972" s="5">
        <v>120000</v>
      </c>
    </row>
    <row r="973" spans="1:12" x14ac:dyDescent="0.25">
      <c r="C973" t="s">
        <v>536</v>
      </c>
      <c r="I973" s="7" t="s">
        <v>538</v>
      </c>
      <c r="J973" s="5">
        <v>868000</v>
      </c>
    </row>
    <row r="974" spans="1:12" x14ac:dyDescent="0.25">
      <c r="I974" s="7" t="s">
        <v>539</v>
      </c>
      <c r="J974" s="5">
        <v>100000</v>
      </c>
    </row>
    <row r="975" spans="1:12" x14ac:dyDescent="0.25">
      <c r="I975" s="7" t="s">
        <v>540</v>
      </c>
      <c r="J975" s="5">
        <v>500000</v>
      </c>
    </row>
    <row r="977" spans="1:12" x14ac:dyDescent="0.25">
      <c r="I977" s="7" t="s">
        <v>20</v>
      </c>
      <c r="J977" s="5">
        <f>SUM(J972:J976)</f>
        <v>1588000</v>
      </c>
    </row>
    <row r="979" spans="1:12" x14ac:dyDescent="0.25">
      <c r="A979" s="1" t="s">
        <v>0</v>
      </c>
      <c r="B979" s="1" t="s">
        <v>1</v>
      </c>
      <c r="C979" s="1" t="s">
        <v>2</v>
      </c>
      <c r="D979" s="1" t="s">
        <v>3</v>
      </c>
      <c r="E979" s="1" t="s">
        <v>4</v>
      </c>
      <c r="F979" s="2" t="s">
        <v>5</v>
      </c>
      <c r="G979" s="3" t="s">
        <v>6</v>
      </c>
      <c r="H979" s="3" t="s">
        <v>7</v>
      </c>
      <c r="I979" s="6" t="s">
        <v>8</v>
      </c>
      <c r="J979" s="2" t="s">
        <v>9</v>
      </c>
      <c r="K979" s="3" t="s">
        <v>10</v>
      </c>
      <c r="L979" s="2" t="s">
        <v>9</v>
      </c>
    </row>
    <row r="980" spans="1:12" x14ac:dyDescent="0.25">
      <c r="A980" s="4">
        <v>45824</v>
      </c>
      <c r="B980" t="s">
        <v>1169</v>
      </c>
      <c r="C980" t="s">
        <v>1170</v>
      </c>
      <c r="D980" t="s">
        <v>29</v>
      </c>
      <c r="E980">
        <v>2021</v>
      </c>
      <c r="F980" s="5">
        <v>32818</v>
      </c>
      <c r="G980" t="s">
        <v>1171</v>
      </c>
      <c r="I980" s="7" t="s">
        <v>1172</v>
      </c>
    </row>
    <row r="982" spans="1:12" x14ac:dyDescent="0.25">
      <c r="I982" s="7" t="s">
        <v>20</v>
      </c>
    </row>
    <row r="984" spans="1:12" x14ac:dyDescent="0.25">
      <c r="A984" s="1" t="s">
        <v>0</v>
      </c>
      <c r="B984" s="1" t="s">
        <v>1</v>
      </c>
      <c r="C984" s="1" t="s">
        <v>2</v>
      </c>
      <c r="D984" s="1" t="s">
        <v>3</v>
      </c>
      <c r="E984" s="1" t="s">
        <v>4</v>
      </c>
      <c r="F984" s="2" t="s">
        <v>5</v>
      </c>
      <c r="G984" s="3" t="s">
        <v>6</v>
      </c>
      <c r="H984" s="3" t="s">
        <v>7</v>
      </c>
      <c r="I984" s="6" t="s">
        <v>8</v>
      </c>
      <c r="J984" s="2" t="s">
        <v>9</v>
      </c>
      <c r="K984" s="3" t="s">
        <v>10</v>
      </c>
      <c r="L984" s="2" t="s">
        <v>9</v>
      </c>
    </row>
    <row r="985" spans="1:12" x14ac:dyDescent="0.25">
      <c r="A985" s="4">
        <v>45824</v>
      </c>
      <c r="B985" t="s">
        <v>98</v>
      </c>
      <c r="C985" t="s">
        <v>281</v>
      </c>
      <c r="D985" t="s">
        <v>29</v>
      </c>
      <c r="E985">
        <v>2015</v>
      </c>
      <c r="F985" s="5">
        <v>75696</v>
      </c>
      <c r="G985" t="s">
        <v>282</v>
      </c>
      <c r="H985">
        <v>3125002269</v>
      </c>
      <c r="I985" s="7" t="s">
        <v>1177</v>
      </c>
    </row>
    <row r="986" spans="1:12" x14ac:dyDescent="0.25">
      <c r="I986" s="7" t="s">
        <v>1172</v>
      </c>
    </row>
    <row r="988" spans="1:12" x14ac:dyDescent="0.25">
      <c r="I988" s="7" t="s">
        <v>20</v>
      </c>
    </row>
    <row r="990" spans="1:12" x14ac:dyDescent="0.25">
      <c r="A990" s="1" t="s">
        <v>0</v>
      </c>
      <c r="B990" s="1" t="s">
        <v>1</v>
      </c>
      <c r="C990" s="1" t="s">
        <v>2</v>
      </c>
      <c r="D990" s="1" t="s">
        <v>3</v>
      </c>
      <c r="E990" s="1" t="s">
        <v>4</v>
      </c>
      <c r="F990" s="2" t="s">
        <v>5</v>
      </c>
      <c r="G990" s="3" t="s">
        <v>6</v>
      </c>
      <c r="H990" s="3" t="s">
        <v>7</v>
      </c>
      <c r="I990" s="6" t="s">
        <v>8</v>
      </c>
      <c r="J990" s="2" t="s">
        <v>9</v>
      </c>
      <c r="K990" s="3" t="s">
        <v>10</v>
      </c>
      <c r="L990" s="2" t="s">
        <v>9</v>
      </c>
    </row>
    <row r="991" spans="1:12" x14ac:dyDescent="0.25">
      <c r="A991" s="4">
        <v>45824</v>
      </c>
      <c r="B991" t="s">
        <v>292</v>
      </c>
      <c r="C991" t="s">
        <v>1178</v>
      </c>
      <c r="D991" t="s">
        <v>29</v>
      </c>
      <c r="E991">
        <v>2007</v>
      </c>
      <c r="G991" t="s">
        <v>1179</v>
      </c>
      <c r="H991">
        <v>3134903494</v>
      </c>
      <c r="I991" s="7" t="s">
        <v>1180</v>
      </c>
    </row>
    <row r="992" spans="1:12" x14ac:dyDescent="0.25">
      <c r="I992" s="7" t="s">
        <v>1181</v>
      </c>
    </row>
    <row r="994" spans="1:12" x14ac:dyDescent="0.25">
      <c r="I994" s="7" t="s">
        <v>1140</v>
      </c>
    </row>
    <row r="996" spans="1:12" x14ac:dyDescent="0.25">
      <c r="A996" s="1" t="s">
        <v>0</v>
      </c>
      <c r="B996" s="1" t="s">
        <v>1</v>
      </c>
      <c r="C996" s="1" t="s">
        <v>2</v>
      </c>
      <c r="D996" s="1" t="s">
        <v>3</v>
      </c>
      <c r="E996" s="1" t="s">
        <v>4</v>
      </c>
      <c r="F996" s="2" t="s">
        <v>5</v>
      </c>
      <c r="G996" s="3" t="s">
        <v>6</v>
      </c>
      <c r="H996" s="3" t="s">
        <v>7</v>
      </c>
      <c r="I996" s="6" t="s">
        <v>8</v>
      </c>
      <c r="J996" s="2" t="s">
        <v>9</v>
      </c>
      <c r="K996" s="3" t="s">
        <v>10</v>
      </c>
      <c r="L996" s="2" t="s">
        <v>9</v>
      </c>
    </row>
    <row r="997" spans="1:12" x14ac:dyDescent="0.25">
      <c r="A997" s="4">
        <v>45824</v>
      </c>
      <c r="B997" t="s">
        <v>207</v>
      </c>
      <c r="C997" t="s">
        <v>208</v>
      </c>
      <c r="D997" t="s">
        <v>13</v>
      </c>
      <c r="G997" t="s">
        <v>1184</v>
      </c>
      <c r="I997" s="7" t="s">
        <v>1185</v>
      </c>
    </row>
    <row r="998" spans="1:12" x14ac:dyDescent="0.25">
      <c r="I998" s="7" t="s">
        <v>1186</v>
      </c>
    </row>
    <row r="1000" spans="1:12" x14ac:dyDescent="0.25">
      <c r="I1000" s="7" t="s">
        <v>20</v>
      </c>
    </row>
    <row r="1002" spans="1:12" x14ac:dyDescent="0.25">
      <c r="A1002" s="1" t="s">
        <v>1187</v>
      </c>
      <c r="B1002" s="1" t="s">
        <v>1</v>
      </c>
      <c r="C1002" s="1" t="s">
        <v>2</v>
      </c>
      <c r="D1002" s="1" t="s">
        <v>3</v>
      </c>
      <c r="E1002" s="1" t="s">
        <v>4</v>
      </c>
      <c r="F1002" s="2" t="s">
        <v>5</v>
      </c>
      <c r="G1002" s="3" t="s">
        <v>6</v>
      </c>
      <c r="H1002" s="3" t="s">
        <v>7</v>
      </c>
      <c r="I1002" s="6" t="s">
        <v>8</v>
      </c>
      <c r="J1002" s="2" t="s">
        <v>9</v>
      </c>
      <c r="K1002" s="3" t="s">
        <v>10</v>
      </c>
      <c r="L1002" s="2" t="s">
        <v>9</v>
      </c>
    </row>
    <row r="1003" spans="1:12" x14ac:dyDescent="0.25">
      <c r="A1003" s="4">
        <v>45825</v>
      </c>
      <c r="B1003" t="s">
        <v>40</v>
      </c>
      <c r="C1003" t="s">
        <v>1182</v>
      </c>
      <c r="E1003">
        <v>2022</v>
      </c>
      <c r="F1003" s="5">
        <v>28800</v>
      </c>
      <c r="G1003" t="s">
        <v>1183</v>
      </c>
      <c r="H1003">
        <v>3102685179</v>
      </c>
      <c r="I1003" s="7" t="s">
        <v>958</v>
      </c>
      <c r="J1003" s="5">
        <v>160000</v>
      </c>
    </row>
    <row r="1004" spans="1:12" x14ac:dyDescent="0.25">
      <c r="I1004" s="7" t="s">
        <v>768</v>
      </c>
      <c r="J1004" s="5">
        <v>160000</v>
      </c>
    </row>
    <row r="1006" spans="1:12" x14ac:dyDescent="0.25">
      <c r="I1006" s="7" t="s">
        <v>20</v>
      </c>
      <c r="J1006" s="5">
        <f>SUM(J1003:J1005)</f>
        <v>320000</v>
      </c>
    </row>
    <row r="1008" spans="1:12" x14ac:dyDescent="0.25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2" t="s">
        <v>5</v>
      </c>
      <c r="G1008" s="3" t="s">
        <v>6</v>
      </c>
      <c r="H1008" s="3" t="s">
        <v>7</v>
      </c>
      <c r="I1008" s="6" t="s">
        <v>8</v>
      </c>
      <c r="J1008" s="2" t="s">
        <v>9</v>
      </c>
      <c r="K1008" s="3" t="s">
        <v>10</v>
      </c>
      <c r="L1008" s="2" t="s">
        <v>9</v>
      </c>
    </row>
    <row r="1009" spans="1:12" x14ac:dyDescent="0.25">
      <c r="A1009" s="4">
        <v>45827</v>
      </c>
      <c r="B1009" t="s">
        <v>94</v>
      </c>
      <c r="C1009" t="s">
        <v>1163</v>
      </c>
      <c r="D1009" t="s">
        <v>84</v>
      </c>
      <c r="E1009">
        <v>2025</v>
      </c>
      <c r="F1009" s="5">
        <v>13823</v>
      </c>
      <c r="G1009" t="s">
        <v>1164</v>
      </c>
      <c r="H1009">
        <v>3195023037</v>
      </c>
      <c r="I1009" s="7" t="s">
        <v>1165</v>
      </c>
    </row>
    <row r="1011" spans="1:12" x14ac:dyDescent="0.25">
      <c r="I1011" s="7" t="s">
        <v>20</v>
      </c>
    </row>
    <row r="1013" spans="1:12" x14ac:dyDescent="0.25">
      <c r="A1013" s="1" t="s">
        <v>0</v>
      </c>
      <c r="B1013" s="1" t="s">
        <v>1</v>
      </c>
      <c r="C1013" s="1" t="s">
        <v>2</v>
      </c>
      <c r="D1013" s="1" t="s">
        <v>3</v>
      </c>
      <c r="E1013" s="1" t="s">
        <v>4</v>
      </c>
      <c r="F1013" s="2" t="s">
        <v>5</v>
      </c>
      <c r="G1013" s="3" t="s">
        <v>6</v>
      </c>
      <c r="H1013" s="3" t="s">
        <v>7</v>
      </c>
      <c r="I1013" s="6" t="s">
        <v>8</v>
      </c>
      <c r="J1013" s="2" t="s">
        <v>9</v>
      </c>
      <c r="K1013" s="3" t="s">
        <v>10</v>
      </c>
      <c r="L1013" s="2" t="s">
        <v>9</v>
      </c>
    </row>
    <row r="1014" spans="1:12" x14ac:dyDescent="0.25">
      <c r="A1014" s="4">
        <v>45828</v>
      </c>
      <c r="C1014" t="s">
        <v>578</v>
      </c>
      <c r="E1014">
        <v>2023</v>
      </c>
      <c r="F1014" s="5">
        <v>7100</v>
      </c>
      <c r="G1014" t="s">
        <v>1173</v>
      </c>
      <c r="H1014">
        <v>3112381411</v>
      </c>
      <c r="I1014" s="7" t="s">
        <v>1174</v>
      </c>
    </row>
    <row r="1015" spans="1:12" x14ac:dyDescent="0.25">
      <c r="I1015" s="7" t="s">
        <v>1175</v>
      </c>
    </row>
    <row r="1016" spans="1:12" x14ac:dyDescent="0.25">
      <c r="I1016" s="7" t="s">
        <v>1176</v>
      </c>
    </row>
    <row r="1018" spans="1:12" x14ac:dyDescent="0.25">
      <c r="I1018" s="7" t="s">
        <v>20</v>
      </c>
    </row>
    <row r="1020" spans="1:12" x14ac:dyDescent="0.25">
      <c r="A1020" s="1" t="s">
        <v>0</v>
      </c>
      <c r="B1020" s="1" t="s">
        <v>1</v>
      </c>
      <c r="C1020" s="1" t="s">
        <v>2</v>
      </c>
      <c r="D1020" s="1" t="s">
        <v>3</v>
      </c>
      <c r="E1020" s="1" t="s">
        <v>4</v>
      </c>
      <c r="F1020" s="2" t="s">
        <v>5</v>
      </c>
      <c r="G1020" s="3" t="s">
        <v>6</v>
      </c>
      <c r="H1020" s="3" t="s">
        <v>7</v>
      </c>
      <c r="I1020" s="6" t="s">
        <v>8</v>
      </c>
      <c r="J1020" s="2" t="s">
        <v>9</v>
      </c>
      <c r="K1020" s="3" t="s">
        <v>10</v>
      </c>
      <c r="L1020" s="2" t="s">
        <v>9</v>
      </c>
    </row>
    <row r="1021" spans="1:12" x14ac:dyDescent="0.25">
      <c r="A1021" s="4">
        <v>45825</v>
      </c>
      <c r="B1021" t="s">
        <v>21</v>
      </c>
      <c r="C1021" t="s">
        <v>541</v>
      </c>
      <c r="D1021" t="s">
        <v>153</v>
      </c>
      <c r="F1021" s="5">
        <v>85895</v>
      </c>
      <c r="G1021" t="s">
        <v>542</v>
      </c>
      <c r="I1021" s="7" t="s">
        <v>150</v>
      </c>
      <c r="J1021" s="5">
        <v>150000</v>
      </c>
    </row>
    <row r="1022" spans="1:12" x14ac:dyDescent="0.25">
      <c r="I1022" s="7" t="s">
        <v>17</v>
      </c>
      <c r="J1022" s="5">
        <v>160000</v>
      </c>
    </row>
    <row r="1023" spans="1:12" x14ac:dyDescent="0.25">
      <c r="I1023" s="7" t="s">
        <v>18</v>
      </c>
      <c r="J1023" s="5">
        <v>46000</v>
      </c>
    </row>
    <row r="1024" spans="1:12" x14ac:dyDescent="0.25">
      <c r="I1024" s="7" t="s">
        <v>159</v>
      </c>
      <c r="J1024" s="5">
        <v>190000</v>
      </c>
    </row>
    <row r="1025" spans="1:12" x14ac:dyDescent="0.25">
      <c r="I1025" s="7" t="s">
        <v>520</v>
      </c>
      <c r="J1025" s="5">
        <v>40000</v>
      </c>
    </row>
    <row r="1026" spans="1:12" x14ac:dyDescent="0.25">
      <c r="I1026" s="7" t="s">
        <v>26</v>
      </c>
      <c r="J1026" s="5">
        <v>240000</v>
      </c>
    </row>
    <row r="1027" spans="1:12" x14ac:dyDescent="0.25">
      <c r="I1027" s="7" t="s">
        <v>25</v>
      </c>
      <c r="J1027" s="5">
        <v>80000</v>
      </c>
    </row>
    <row r="1028" spans="1:12" x14ac:dyDescent="0.25">
      <c r="I1028" s="7" t="s">
        <v>108</v>
      </c>
      <c r="J1028" s="5">
        <v>150000</v>
      </c>
    </row>
    <row r="1030" spans="1:12" x14ac:dyDescent="0.25">
      <c r="I1030" s="7" t="s">
        <v>20</v>
      </c>
      <c r="J1030" s="5">
        <f>SUM(J1021:J1029)</f>
        <v>1056000</v>
      </c>
    </row>
    <row r="1032" spans="1:12" x14ac:dyDescent="0.25">
      <c r="A1032" s="1" t="s">
        <v>0</v>
      </c>
      <c r="B1032" s="1" t="s">
        <v>1</v>
      </c>
      <c r="C1032" s="1" t="s">
        <v>2</v>
      </c>
      <c r="D1032" s="1" t="s">
        <v>3</v>
      </c>
      <c r="E1032" s="1" t="s">
        <v>4</v>
      </c>
      <c r="F1032" s="2" t="s">
        <v>5</v>
      </c>
      <c r="G1032" s="3" t="s">
        <v>6</v>
      </c>
      <c r="H1032" s="3" t="s">
        <v>7</v>
      </c>
      <c r="I1032" s="6" t="s">
        <v>8</v>
      </c>
      <c r="J1032" s="2" t="s">
        <v>9</v>
      </c>
      <c r="K1032" s="3" t="s">
        <v>10</v>
      </c>
      <c r="L1032" s="2" t="s">
        <v>9</v>
      </c>
    </row>
    <row r="1033" spans="1:12" x14ac:dyDescent="0.25">
      <c r="A1033" s="4">
        <v>45825</v>
      </c>
      <c r="B1033" t="s">
        <v>492</v>
      </c>
      <c r="C1033" t="s">
        <v>493</v>
      </c>
      <c r="D1033" t="s">
        <v>153</v>
      </c>
      <c r="E1033">
        <v>2024</v>
      </c>
      <c r="F1033" s="5">
        <v>4602</v>
      </c>
      <c r="G1033" t="s">
        <v>494</v>
      </c>
      <c r="H1033">
        <v>3507277564</v>
      </c>
      <c r="I1033" s="7" t="s">
        <v>137</v>
      </c>
      <c r="J1033" s="5">
        <v>155000</v>
      </c>
    </row>
    <row r="1034" spans="1:12" x14ac:dyDescent="0.25">
      <c r="I1034" s="7" t="s">
        <v>495</v>
      </c>
      <c r="J1034" s="5">
        <v>344000</v>
      </c>
    </row>
    <row r="1035" spans="1:12" x14ac:dyDescent="0.25">
      <c r="I1035" s="7" t="s">
        <v>496</v>
      </c>
      <c r="J1035" s="5">
        <v>69000</v>
      </c>
    </row>
    <row r="1036" spans="1:12" x14ac:dyDescent="0.25">
      <c r="I1036" s="7" t="s">
        <v>497</v>
      </c>
      <c r="J1036" s="5">
        <v>167000</v>
      </c>
    </row>
    <row r="1037" spans="1:12" x14ac:dyDescent="0.25">
      <c r="I1037" s="7" t="s">
        <v>100</v>
      </c>
      <c r="J1037" s="5">
        <v>300000</v>
      </c>
    </row>
    <row r="1038" spans="1:12" x14ac:dyDescent="0.25">
      <c r="I1038" s="7" t="s">
        <v>77</v>
      </c>
      <c r="J1038" s="5">
        <v>22000</v>
      </c>
    </row>
    <row r="1039" spans="1:12" x14ac:dyDescent="0.25">
      <c r="I1039" s="7" t="s">
        <v>498</v>
      </c>
      <c r="J1039" s="5">
        <v>40000</v>
      </c>
    </row>
    <row r="1041" spans="1:12" x14ac:dyDescent="0.25">
      <c r="I1041" s="7" t="s">
        <v>20</v>
      </c>
      <c r="J1041" s="5">
        <f>SUM(J1033:J1040)</f>
        <v>1097000</v>
      </c>
    </row>
    <row r="1043" spans="1:12" x14ac:dyDescent="0.25">
      <c r="A1043" s="1" t="s">
        <v>0</v>
      </c>
      <c r="B1043" s="1" t="s">
        <v>1</v>
      </c>
      <c r="C1043" s="1" t="s">
        <v>2</v>
      </c>
      <c r="D1043" s="1" t="s">
        <v>3</v>
      </c>
      <c r="E1043" s="1" t="s">
        <v>4</v>
      </c>
      <c r="F1043" s="2" t="s">
        <v>5</v>
      </c>
      <c r="G1043" s="3" t="s">
        <v>6</v>
      </c>
      <c r="H1043" s="3" t="s">
        <v>7</v>
      </c>
      <c r="I1043" s="6" t="s">
        <v>8</v>
      </c>
      <c r="J1043" s="2" t="s">
        <v>9</v>
      </c>
      <c r="K1043" s="3" t="s">
        <v>10</v>
      </c>
      <c r="L1043" s="2" t="s">
        <v>9</v>
      </c>
    </row>
    <row r="1044" spans="1:12" x14ac:dyDescent="0.25">
      <c r="A1044" s="4">
        <v>45826</v>
      </c>
      <c r="B1044" t="s">
        <v>499</v>
      </c>
      <c r="C1044" t="s">
        <v>500</v>
      </c>
      <c r="D1044" t="s">
        <v>29</v>
      </c>
      <c r="E1044">
        <v>2017</v>
      </c>
      <c r="G1044" t="s">
        <v>501</v>
      </c>
      <c r="H1044">
        <v>3144449128</v>
      </c>
      <c r="I1044" s="7" t="s">
        <v>93</v>
      </c>
      <c r="J1044" s="5">
        <v>650000</v>
      </c>
    </row>
    <row r="1045" spans="1:12" x14ac:dyDescent="0.25">
      <c r="I1045" s="7" t="s">
        <v>18</v>
      </c>
      <c r="J1045" s="5">
        <v>46000</v>
      </c>
    </row>
    <row r="1046" spans="1:12" x14ac:dyDescent="0.25">
      <c r="I1046" s="7" t="s">
        <v>70</v>
      </c>
      <c r="J1046" s="5">
        <v>120000</v>
      </c>
    </row>
    <row r="1047" spans="1:12" x14ac:dyDescent="0.25">
      <c r="I1047" s="7" t="s">
        <v>502</v>
      </c>
      <c r="J1047" s="5">
        <v>880000</v>
      </c>
    </row>
    <row r="1048" spans="1:12" x14ac:dyDescent="0.25">
      <c r="I1048" s="7" t="s">
        <v>503</v>
      </c>
      <c r="J1048" s="5">
        <v>380000</v>
      </c>
    </row>
    <row r="1049" spans="1:12" x14ac:dyDescent="0.25">
      <c r="I1049" s="7" t="s">
        <v>363</v>
      </c>
      <c r="J1049" s="5">
        <v>60000</v>
      </c>
    </row>
    <row r="1051" spans="1:12" x14ac:dyDescent="0.25">
      <c r="I1051" s="7" t="s">
        <v>20</v>
      </c>
      <c r="J1051" s="5">
        <f>SUM(J1044:J1050)</f>
        <v>2136000</v>
      </c>
    </row>
    <row r="1053" spans="1:12" x14ac:dyDescent="0.25">
      <c r="A1053" s="1" t="s">
        <v>0</v>
      </c>
      <c r="B1053" s="1" t="s">
        <v>1</v>
      </c>
      <c r="C1053" s="1" t="s">
        <v>2</v>
      </c>
      <c r="D1053" s="1" t="s">
        <v>3</v>
      </c>
      <c r="E1053" s="1" t="s">
        <v>4</v>
      </c>
      <c r="F1053" s="2" t="s">
        <v>5</v>
      </c>
      <c r="G1053" s="3" t="s">
        <v>6</v>
      </c>
      <c r="H1053" s="3" t="s">
        <v>7</v>
      </c>
      <c r="I1053" s="6" t="s">
        <v>8</v>
      </c>
      <c r="J1053" s="2" t="s">
        <v>9</v>
      </c>
      <c r="K1053" s="3" t="s">
        <v>10</v>
      </c>
      <c r="L1053" s="2" t="s">
        <v>9</v>
      </c>
    </row>
    <row r="1054" spans="1:12" x14ac:dyDescent="0.25">
      <c r="A1054" s="4">
        <v>45826</v>
      </c>
      <c r="B1054" t="s">
        <v>391</v>
      </c>
      <c r="C1054" t="s">
        <v>543</v>
      </c>
      <c r="D1054" t="s">
        <v>29</v>
      </c>
      <c r="F1054" s="5">
        <v>60300</v>
      </c>
      <c r="G1054" t="s">
        <v>544</v>
      </c>
      <c r="I1054" s="7" t="s">
        <v>126</v>
      </c>
      <c r="J1054" s="5">
        <v>420000</v>
      </c>
    </row>
    <row r="1055" spans="1:12" x14ac:dyDescent="0.25">
      <c r="I1055" s="7" t="s">
        <v>16</v>
      </c>
      <c r="J1055" s="5">
        <v>390000</v>
      </c>
    </row>
    <row r="1056" spans="1:12" x14ac:dyDescent="0.25">
      <c r="I1056" s="7" t="s">
        <v>318</v>
      </c>
      <c r="J1056" s="5">
        <v>135000</v>
      </c>
    </row>
    <row r="1057" spans="1:12" x14ac:dyDescent="0.25">
      <c r="I1057" s="7" t="s">
        <v>545</v>
      </c>
      <c r="J1057" s="5">
        <v>22000</v>
      </c>
    </row>
    <row r="1058" spans="1:12" x14ac:dyDescent="0.25">
      <c r="I1058" s="7" t="s">
        <v>17</v>
      </c>
      <c r="J1058" s="5">
        <v>144000</v>
      </c>
    </row>
    <row r="1059" spans="1:12" x14ac:dyDescent="0.25">
      <c r="I1059" s="7" t="s">
        <v>150</v>
      </c>
      <c r="J1059" s="5">
        <v>150000</v>
      </c>
    </row>
    <row r="1060" spans="1:12" x14ac:dyDescent="0.25">
      <c r="I1060" s="7" t="s">
        <v>18</v>
      </c>
      <c r="J1060" s="5">
        <v>46000</v>
      </c>
    </row>
    <row r="1061" spans="1:12" x14ac:dyDescent="0.25">
      <c r="I1061" s="7" t="s">
        <v>26</v>
      </c>
      <c r="J1061" s="5">
        <v>80000</v>
      </c>
    </row>
    <row r="1062" spans="1:12" x14ac:dyDescent="0.25">
      <c r="I1062" s="7" t="s">
        <v>25</v>
      </c>
      <c r="J1062" s="5">
        <v>240000</v>
      </c>
    </row>
    <row r="1064" spans="1:12" x14ac:dyDescent="0.25">
      <c r="I1064" s="7" t="s">
        <v>20</v>
      </c>
      <c r="J1064" s="5">
        <f>SUM(J1054:J1063)</f>
        <v>1627000</v>
      </c>
    </row>
    <row r="1066" spans="1:12" x14ac:dyDescent="0.25">
      <c r="A1066" s="1" t="s">
        <v>0</v>
      </c>
      <c r="B1066" s="1" t="s">
        <v>1</v>
      </c>
      <c r="C1066" s="1" t="s">
        <v>2</v>
      </c>
      <c r="D1066" s="1" t="s">
        <v>3</v>
      </c>
      <c r="E1066" s="1" t="s">
        <v>4</v>
      </c>
      <c r="F1066" s="2" t="s">
        <v>5</v>
      </c>
      <c r="G1066" s="3" t="s">
        <v>6</v>
      </c>
      <c r="H1066" s="3" t="s">
        <v>7</v>
      </c>
      <c r="I1066" s="6" t="s">
        <v>8</v>
      </c>
      <c r="J1066" s="2" t="s">
        <v>9</v>
      </c>
      <c r="K1066" s="3" t="s">
        <v>10</v>
      </c>
      <c r="L1066" s="2" t="s">
        <v>9</v>
      </c>
    </row>
    <row r="1067" spans="1:12" x14ac:dyDescent="0.25">
      <c r="A1067" s="4">
        <v>45826</v>
      </c>
      <c r="B1067" t="s">
        <v>110</v>
      </c>
      <c r="C1067" t="s">
        <v>621</v>
      </c>
      <c r="D1067" t="s">
        <v>29</v>
      </c>
      <c r="E1067">
        <v>2022</v>
      </c>
      <c r="F1067" s="5">
        <v>43584</v>
      </c>
      <c r="G1067" t="s">
        <v>622</v>
      </c>
      <c r="H1067">
        <v>3222820415</v>
      </c>
      <c r="I1067" s="7" t="s">
        <v>16</v>
      </c>
      <c r="J1067" s="5">
        <v>270000</v>
      </c>
    </row>
    <row r="1068" spans="1:12" x14ac:dyDescent="0.25">
      <c r="I1068" s="7" t="s">
        <v>26</v>
      </c>
      <c r="J1068" s="5">
        <v>45000</v>
      </c>
    </row>
    <row r="1069" spans="1:12" x14ac:dyDescent="0.25">
      <c r="I1069" s="7" t="s">
        <v>77</v>
      </c>
      <c r="J1069" s="5">
        <v>22000</v>
      </c>
    </row>
    <row r="1070" spans="1:12" x14ac:dyDescent="0.25">
      <c r="I1070" s="7" t="s">
        <v>25</v>
      </c>
      <c r="J1070" s="5">
        <v>45000</v>
      </c>
    </row>
    <row r="1072" spans="1:12" x14ac:dyDescent="0.25">
      <c r="I1072" s="7" t="s">
        <v>20</v>
      </c>
      <c r="J1072" s="5">
        <f>SUM(J1067:J1071)</f>
        <v>382000</v>
      </c>
    </row>
    <row r="1074" spans="1:12" x14ac:dyDescent="0.25">
      <c r="A1074" s="1" t="s">
        <v>0</v>
      </c>
      <c r="B1074" s="1" t="s">
        <v>1</v>
      </c>
      <c r="C1074" s="1" t="s">
        <v>2</v>
      </c>
      <c r="D1074" s="1" t="s">
        <v>3</v>
      </c>
      <c r="E1074" s="1" t="s">
        <v>4</v>
      </c>
      <c r="F1074" s="2" t="s">
        <v>5</v>
      </c>
      <c r="G1074" s="3" t="s">
        <v>6</v>
      </c>
      <c r="H1074" s="3" t="s">
        <v>7</v>
      </c>
      <c r="I1074" s="6" t="s">
        <v>8</v>
      </c>
      <c r="J1074" s="2" t="s">
        <v>9</v>
      </c>
      <c r="K1074" s="3" t="s">
        <v>10</v>
      </c>
      <c r="L1074" s="2" t="s">
        <v>9</v>
      </c>
    </row>
    <row r="1075" spans="1:12" x14ac:dyDescent="0.25">
      <c r="A1075" s="4">
        <v>45826</v>
      </c>
      <c r="B1075" t="s">
        <v>21</v>
      </c>
      <c r="C1075" t="s">
        <v>546</v>
      </c>
      <c r="F1075" s="5">
        <v>102166</v>
      </c>
      <c r="G1075" t="s">
        <v>547</v>
      </c>
      <c r="I1075" s="7" t="s">
        <v>548</v>
      </c>
      <c r="J1075" s="5">
        <v>46000</v>
      </c>
    </row>
    <row r="1076" spans="1:12" x14ac:dyDescent="0.25">
      <c r="I1076" s="7" t="s">
        <v>100</v>
      </c>
      <c r="J1076" s="5">
        <v>80000</v>
      </c>
    </row>
    <row r="1077" spans="1:12" x14ac:dyDescent="0.25">
      <c r="I1077" s="7" t="s">
        <v>169</v>
      </c>
      <c r="J1077" s="5">
        <v>35000</v>
      </c>
    </row>
    <row r="1079" spans="1:12" x14ac:dyDescent="0.25">
      <c r="I1079" s="7" t="s">
        <v>20</v>
      </c>
      <c r="J1079" s="5">
        <f>SUM(J1075:J1078)</f>
        <v>161000</v>
      </c>
    </row>
    <row r="1081" spans="1:12" x14ac:dyDescent="0.25">
      <c r="A1081" s="1" t="s">
        <v>0</v>
      </c>
      <c r="B1081" s="1" t="s">
        <v>1</v>
      </c>
      <c r="C1081" s="1" t="s">
        <v>2</v>
      </c>
      <c r="D1081" s="1" t="s">
        <v>3</v>
      </c>
      <c r="E1081" s="1" t="s">
        <v>4</v>
      </c>
      <c r="F1081" s="2" t="s">
        <v>5</v>
      </c>
      <c r="G1081" s="3" t="s">
        <v>6</v>
      </c>
      <c r="H1081" s="3" t="s">
        <v>7</v>
      </c>
      <c r="I1081" s="6" t="s">
        <v>8</v>
      </c>
      <c r="J1081" s="2" t="s">
        <v>9</v>
      </c>
      <c r="K1081" s="3" t="s">
        <v>10</v>
      </c>
      <c r="L1081" s="2" t="s">
        <v>9</v>
      </c>
    </row>
    <row r="1082" spans="1:12" x14ac:dyDescent="0.25">
      <c r="A1082" s="4">
        <v>45826</v>
      </c>
      <c r="B1082" t="s">
        <v>21</v>
      </c>
      <c r="C1082" t="s">
        <v>922</v>
      </c>
      <c r="D1082" t="s">
        <v>23</v>
      </c>
      <c r="E1082">
        <v>2017</v>
      </c>
      <c r="F1082" s="5">
        <v>121015</v>
      </c>
      <c r="G1082" t="s">
        <v>923</v>
      </c>
      <c r="I1082" s="7" t="s">
        <v>924</v>
      </c>
      <c r="J1082" s="5">
        <v>160000</v>
      </c>
    </row>
    <row r="1083" spans="1:12" x14ac:dyDescent="0.25">
      <c r="I1083" s="7" t="s">
        <v>398</v>
      </c>
      <c r="J1083" s="5">
        <v>80000</v>
      </c>
    </row>
    <row r="1084" spans="1:12" x14ac:dyDescent="0.25">
      <c r="I1084" s="7" t="s">
        <v>925</v>
      </c>
      <c r="J1084" s="5">
        <v>100000</v>
      </c>
    </row>
    <row r="1085" spans="1:12" x14ac:dyDescent="0.25">
      <c r="I1085" s="7" t="s">
        <v>718</v>
      </c>
      <c r="J1085" s="5">
        <v>40000</v>
      </c>
    </row>
    <row r="1086" spans="1:12" x14ac:dyDescent="0.25">
      <c r="I1086" s="7" t="s">
        <v>926</v>
      </c>
      <c r="J1086" s="5">
        <v>40000</v>
      </c>
    </row>
    <row r="1087" spans="1:12" x14ac:dyDescent="0.25">
      <c r="I1087" s="7" t="s">
        <v>927</v>
      </c>
      <c r="J1087" s="5">
        <v>120000</v>
      </c>
    </row>
    <row r="1088" spans="1:12" x14ac:dyDescent="0.25">
      <c r="I1088" s="7" t="s">
        <v>928</v>
      </c>
      <c r="J1088" s="5">
        <v>150000</v>
      </c>
    </row>
    <row r="1089" spans="1:12" x14ac:dyDescent="0.25">
      <c r="I1089" s="7" t="s">
        <v>929</v>
      </c>
      <c r="J1089" s="5">
        <v>120000</v>
      </c>
    </row>
    <row r="1090" spans="1:12" x14ac:dyDescent="0.25">
      <c r="I1090" s="7" t="s">
        <v>930</v>
      </c>
      <c r="J1090" s="5">
        <v>30000</v>
      </c>
    </row>
    <row r="1091" spans="1:12" x14ac:dyDescent="0.25">
      <c r="I1091" s="7" t="s">
        <v>931</v>
      </c>
      <c r="J1091" s="5">
        <v>60000</v>
      </c>
    </row>
    <row r="1092" spans="1:12" x14ac:dyDescent="0.25">
      <c r="I1092" s="7" t="s">
        <v>932</v>
      </c>
      <c r="J1092" s="5">
        <v>80000</v>
      </c>
    </row>
    <row r="1093" spans="1:12" x14ac:dyDescent="0.25">
      <c r="I1093" s="7" t="s">
        <v>933</v>
      </c>
      <c r="J1093" s="5">
        <v>50000</v>
      </c>
    </row>
    <row r="1094" spans="1:12" x14ac:dyDescent="0.25">
      <c r="I1094" s="7" t="s">
        <v>934</v>
      </c>
      <c r="J1094" s="5">
        <v>340000</v>
      </c>
    </row>
    <row r="1095" spans="1:12" x14ac:dyDescent="0.25">
      <c r="I1095" s="7" t="s">
        <v>935</v>
      </c>
      <c r="J1095" s="5">
        <v>40000</v>
      </c>
    </row>
    <row r="1096" spans="1:12" x14ac:dyDescent="0.25">
      <c r="I1096" s="7" t="s">
        <v>936</v>
      </c>
      <c r="J1096" s="5">
        <v>60000</v>
      </c>
    </row>
    <row r="1097" spans="1:12" x14ac:dyDescent="0.25">
      <c r="I1097" s="7" t="s">
        <v>937</v>
      </c>
      <c r="J1097" s="5">
        <v>40000</v>
      </c>
    </row>
    <row r="1098" spans="1:12" x14ac:dyDescent="0.25">
      <c r="I1098" s="7" t="s">
        <v>938</v>
      </c>
      <c r="J1098" s="5">
        <v>50000</v>
      </c>
    </row>
    <row r="1099" spans="1:12" x14ac:dyDescent="0.25">
      <c r="I1099" s="7" t="s">
        <v>939</v>
      </c>
      <c r="J1099" s="5">
        <v>60000</v>
      </c>
    </row>
    <row r="1100" spans="1:12" x14ac:dyDescent="0.25">
      <c r="I1100" s="7" t="s">
        <v>940</v>
      </c>
      <c r="J1100" s="5">
        <v>30000</v>
      </c>
    </row>
    <row r="1102" spans="1:12" x14ac:dyDescent="0.25">
      <c r="I1102" s="7" t="s">
        <v>20</v>
      </c>
      <c r="J1102" s="5">
        <f>SUM(J1082:J1101)</f>
        <v>1650000</v>
      </c>
    </row>
    <row r="1104" spans="1:12" x14ac:dyDescent="0.25">
      <c r="A1104" s="1" t="s">
        <v>0</v>
      </c>
      <c r="B1104" s="1" t="s">
        <v>1</v>
      </c>
      <c r="C1104" s="1" t="s">
        <v>2</v>
      </c>
      <c r="D1104" s="1" t="s">
        <v>3</v>
      </c>
      <c r="E1104" s="1" t="s">
        <v>4</v>
      </c>
      <c r="F1104" s="2" t="s">
        <v>5</v>
      </c>
      <c r="G1104" s="3" t="s">
        <v>6</v>
      </c>
      <c r="H1104" s="3" t="s">
        <v>7</v>
      </c>
      <c r="I1104" s="6" t="s">
        <v>8</v>
      </c>
      <c r="J1104" s="2" t="s">
        <v>9</v>
      </c>
      <c r="K1104" s="3" t="s">
        <v>10</v>
      </c>
      <c r="L1104" s="2" t="s">
        <v>9</v>
      </c>
    </row>
    <row r="1105" spans="1:12" x14ac:dyDescent="0.25">
      <c r="A1105" s="4">
        <v>45827</v>
      </c>
      <c r="B1105" t="s">
        <v>183</v>
      </c>
      <c r="C1105" t="s">
        <v>549</v>
      </c>
      <c r="D1105" t="s">
        <v>53</v>
      </c>
      <c r="F1105" s="5">
        <v>50629</v>
      </c>
      <c r="G1105" t="s">
        <v>550</v>
      </c>
      <c r="I1105" s="7" t="s">
        <v>551</v>
      </c>
    </row>
    <row r="1106" spans="1:12" x14ac:dyDescent="0.25">
      <c r="I1106" s="7" t="s">
        <v>317</v>
      </c>
    </row>
    <row r="1108" spans="1:12" x14ac:dyDescent="0.25">
      <c r="I1108" s="7" t="s">
        <v>20</v>
      </c>
    </row>
    <row r="1110" spans="1:12" x14ac:dyDescent="0.25">
      <c r="A1110" s="1" t="s">
        <v>0</v>
      </c>
      <c r="B1110" s="1" t="s">
        <v>1</v>
      </c>
      <c r="C1110" s="1" t="s">
        <v>2</v>
      </c>
      <c r="D1110" s="1" t="s">
        <v>3</v>
      </c>
      <c r="E1110" s="1" t="s">
        <v>4</v>
      </c>
      <c r="F1110" s="2" t="s">
        <v>5</v>
      </c>
      <c r="G1110" s="3" t="s">
        <v>6</v>
      </c>
      <c r="H1110" s="3" t="s">
        <v>7</v>
      </c>
      <c r="I1110" s="6" t="s">
        <v>8</v>
      </c>
      <c r="J1110" s="2" t="s">
        <v>9</v>
      </c>
      <c r="K1110" s="3" t="s">
        <v>10</v>
      </c>
      <c r="L1110" s="2" t="s">
        <v>9</v>
      </c>
    </row>
    <row r="1111" spans="1:12" x14ac:dyDescent="0.25">
      <c r="A1111" s="4">
        <v>45827</v>
      </c>
      <c r="B1111" t="s">
        <v>21</v>
      </c>
      <c r="C1111" t="s">
        <v>552</v>
      </c>
      <c r="D1111" t="s">
        <v>153</v>
      </c>
      <c r="F1111" s="5">
        <v>103726</v>
      </c>
      <c r="G1111" t="s">
        <v>553</v>
      </c>
      <c r="I1111" s="7" t="s">
        <v>168</v>
      </c>
      <c r="J1111" s="5">
        <v>80000</v>
      </c>
    </row>
    <row r="1112" spans="1:12" x14ac:dyDescent="0.25">
      <c r="I1112" s="7" t="s">
        <v>554</v>
      </c>
      <c r="J1112" s="5">
        <v>42000</v>
      </c>
    </row>
    <row r="1113" spans="1:12" x14ac:dyDescent="0.25">
      <c r="I1113" s="7" t="s">
        <v>169</v>
      </c>
      <c r="J1113" s="5">
        <v>35000</v>
      </c>
    </row>
    <row r="1114" spans="1:12" x14ac:dyDescent="0.25">
      <c r="I1114" s="7" t="s">
        <v>555</v>
      </c>
      <c r="J1114" s="5">
        <v>40000</v>
      </c>
    </row>
    <row r="1116" spans="1:12" x14ac:dyDescent="0.25">
      <c r="I1116" s="7" t="s">
        <v>20</v>
      </c>
      <c r="J1116" s="5">
        <f>SUM(J1111:J1115)</f>
        <v>197000</v>
      </c>
    </row>
    <row r="1118" spans="1:12" x14ac:dyDescent="0.25">
      <c r="A1118" s="1" t="s">
        <v>0</v>
      </c>
      <c r="B1118" s="1" t="s">
        <v>1</v>
      </c>
      <c r="C1118" s="1" t="s">
        <v>2</v>
      </c>
      <c r="D1118" s="1" t="s">
        <v>3</v>
      </c>
      <c r="E1118" s="1" t="s">
        <v>4</v>
      </c>
      <c r="F1118" s="2" t="s">
        <v>5</v>
      </c>
      <c r="G1118" s="3" t="s">
        <v>6</v>
      </c>
      <c r="H1118" s="3" t="s">
        <v>7</v>
      </c>
      <c r="I1118" s="6" t="s">
        <v>8</v>
      </c>
      <c r="J1118" s="2" t="s">
        <v>9</v>
      </c>
      <c r="K1118" s="3" t="s">
        <v>10</v>
      </c>
      <c r="L1118" s="2" t="s">
        <v>9</v>
      </c>
    </row>
    <row r="1119" spans="1:12" x14ac:dyDescent="0.25">
      <c r="A1119" s="4">
        <v>45828</v>
      </c>
      <c r="B1119" t="s">
        <v>183</v>
      </c>
      <c r="D1119" t="s">
        <v>53</v>
      </c>
      <c r="G1119" t="s">
        <v>556</v>
      </c>
      <c r="I1119" s="7" t="s">
        <v>557</v>
      </c>
      <c r="J1119" s="5">
        <v>1469000</v>
      </c>
    </row>
    <row r="1120" spans="1:12" x14ac:dyDescent="0.25">
      <c r="I1120" s="7" t="s">
        <v>324</v>
      </c>
      <c r="J1120" s="5">
        <v>190000</v>
      </c>
    </row>
    <row r="1121" spans="1:12" x14ac:dyDescent="0.25">
      <c r="I1121" s="7" t="s">
        <v>77</v>
      </c>
      <c r="J1121" s="5">
        <v>22000</v>
      </c>
    </row>
    <row r="1123" spans="1:12" x14ac:dyDescent="0.25">
      <c r="I1123" s="7" t="s">
        <v>20</v>
      </c>
      <c r="J1123" s="5">
        <f>SUM(J1119:J1122)</f>
        <v>1681000</v>
      </c>
    </row>
    <row r="1125" spans="1:12" x14ac:dyDescent="0.25">
      <c r="A1125" s="1" t="s">
        <v>0</v>
      </c>
      <c r="B1125" s="1" t="s">
        <v>1</v>
      </c>
      <c r="C1125" s="1" t="s">
        <v>2</v>
      </c>
      <c r="D1125" s="1" t="s">
        <v>3</v>
      </c>
      <c r="E1125" s="1" t="s">
        <v>4</v>
      </c>
      <c r="F1125" s="2" t="s">
        <v>5</v>
      </c>
      <c r="G1125" s="3" t="s">
        <v>6</v>
      </c>
      <c r="H1125" s="3" t="s">
        <v>7</v>
      </c>
      <c r="I1125" s="6" t="s">
        <v>8</v>
      </c>
      <c r="J1125" s="2" t="s">
        <v>9</v>
      </c>
      <c r="K1125" s="3" t="s">
        <v>10</v>
      </c>
      <c r="L1125" s="2" t="s">
        <v>9</v>
      </c>
    </row>
    <row r="1126" spans="1:12" x14ac:dyDescent="0.25">
      <c r="A1126" s="4">
        <v>45828</v>
      </c>
      <c r="B1126" t="s">
        <v>558</v>
      </c>
      <c r="C1126" t="s">
        <v>559</v>
      </c>
      <c r="D1126" t="s">
        <v>53</v>
      </c>
      <c r="F1126" s="5">
        <v>3</v>
      </c>
      <c r="G1126" t="s">
        <v>560</v>
      </c>
      <c r="I1126" s="7" t="s">
        <v>26</v>
      </c>
      <c r="J1126" s="5">
        <v>80000</v>
      </c>
    </row>
    <row r="1127" spans="1:12" x14ac:dyDescent="0.25">
      <c r="I1127" s="7" t="s">
        <v>17</v>
      </c>
      <c r="J1127" s="5">
        <v>160000</v>
      </c>
    </row>
    <row r="1128" spans="1:12" x14ac:dyDescent="0.25">
      <c r="I1128" s="7" t="s">
        <v>18</v>
      </c>
      <c r="J1128" s="5">
        <v>60000</v>
      </c>
    </row>
    <row r="1129" spans="1:12" x14ac:dyDescent="0.25">
      <c r="I1129" s="7" t="s">
        <v>48</v>
      </c>
      <c r="J1129" s="5">
        <v>135000</v>
      </c>
    </row>
    <row r="1130" spans="1:12" x14ac:dyDescent="0.25">
      <c r="I1130" s="7" t="s">
        <v>49</v>
      </c>
      <c r="J1130" s="5">
        <v>60000</v>
      </c>
    </row>
    <row r="1132" spans="1:12" x14ac:dyDescent="0.25">
      <c r="I1132" s="7" t="s">
        <v>20</v>
      </c>
      <c r="J1132" s="5">
        <f>SUM(J1126:J1131)</f>
        <v>495000</v>
      </c>
    </row>
    <row r="1134" spans="1:12" x14ac:dyDescent="0.25">
      <c r="A1134" s="1" t="s">
        <v>0</v>
      </c>
      <c r="B1134" s="1" t="s">
        <v>1</v>
      </c>
      <c r="C1134" s="1" t="s">
        <v>2</v>
      </c>
      <c r="D1134" s="1" t="s">
        <v>3</v>
      </c>
      <c r="E1134" s="1" t="s">
        <v>4</v>
      </c>
      <c r="F1134" s="2" t="s">
        <v>5</v>
      </c>
      <c r="G1134" s="3" t="s">
        <v>6</v>
      </c>
      <c r="H1134" s="3" t="s">
        <v>7</v>
      </c>
      <c r="I1134" s="6" t="s">
        <v>8</v>
      </c>
      <c r="J1134" s="2" t="s">
        <v>9</v>
      </c>
      <c r="K1134" s="3" t="s">
        <v>10</v>
      </c>
      <c r="L1134" s="2" t="s">
        <v>9</v>
      </c>
    </row>
    <row r="1135" spans="1:12" x14ac:dyDescent="0.25">
      <c r="A1135" s="4">
        <v>45828</v>
      </c>
      <c r="B1135" t="s">
        <v>561</v>
      </c>
      <c r="C1135" t="s">
        <v>562</v>
      </c>
      <c r="D1135" t="s">
        <v>153</v>
      </c>
      <c r="F1135" s="5">
        <v>30505</v>
      </c>
      <c r="G1135" t="s">
        <v>563</v>
      </c>
      <c r="H1135">
        <v>3226872714</v>
      </c>
      <c r="I1135" s="7" t="s">
        <v>564</v>
      </c>
      <c r="J1135" s="5">
        <v>60000</v>
      </c>
    </row>
    <row r="1136" spans="1:12" x14ac:dyDescent="0.25">
      <c r="I1136" s="7" t="s">
        <v>565</v>
      </c>
      <c r="J1136" s="5">
        <v>30000</v>
      </c>
    </row>
    <row r="1137" spans="1:12" x14ac:dyDescent="0.25">
      <c r="I1137" s="7" t="s">
        <v>566</v>
      </c>
      <c r="J1137" s="5">
        <v>120000</v>
      </c>
    </row>
    <row r="1138" spans="1:12" x14ac:dyDescent="0.25">
      <c r="I1138" s="7" t="s">
        <v>567</v>
      </c>
      <c r="J1138" s="5">
        <v>120000</v>
      </c>
    </row>
    <row r="1139" spans="1:12" x14ac:dyDescent="0.25">
      <c r="I1139" s="7" t="s">
        <v>568</v>
      </c>
      <c r="J1139" s="5">
        <v>10000</v>
      </c>
    </row>
    <row r="1140" spans="1:12" x14ac:dyDescent="0.25">
      <c r="I1140" s="7" t="s">
        <v>285</v>
      </c>
      <c r="J1140" s="5">
        <v>80000</v>
      </c>
    </row>
    <row r="1141" spans="1:12" x14ac:dyDescent="0.25">
      <c r="I1141" s="7" t="s">
        <v>569</v>
      </c>
      <c r="J1141" s="5">
        <v>25000</v>
      </c>
    </row>
    <row r="1142" spans="1:12" x14ac:dyDescent="0.25">
      <c r="I1142" s="7" t="s">
        <v>215</v>
      </c>
      <c r="J1142" s="5">
        <v>30000</v>
      </c>
    </row>
    <row r="1143" spans="1:12" x14ac:dyDescent="0.25">
      <c r="I1143" s="7" t="s">
        <v>200</v>
      </c>
      <c r="J1143" s="5">
        <v>60000</v>
      </c>
    </row>
    <row r="1144" spans="1:12" x14ac:dyDescent="0.25">
      <c r="I1144" s="7" t="s">
        <v>76</v>
      </c>
      <c r="J1144" s="5">
        <v>6000</v>
      </c>
    </row>
    <row r="1146" spans="1:12" x14ac:dyDescent="0.25">
      <c r="I1146" s="7" t="s">
        <v>20</v>
      </c>
      <c r="J1146" s="5">
        <f>SUM(J1135:J1145)</f>
        <v>541000</v>
      </c>
    </row>
    <row r="1148" spans="1:12" x14ac:dyDescent="0.25">
      <c r="A1148" s="1" t="s">
        <v>0</v>
      </c>
      <c r="B1148" s="1" t="s">
        <v>1</v>
      </c>
      <c r="C1148" s="1" t="s">
        <v>2</v>
      </c>
      <c r="D1148" s="1" t="s">
        <v>3</v>
      </c>
      <c r="E1148" s="1" t="s">
        <v>4</v>
      </c>
      <c r="F1148" s="2" t="s">
        <v>5</v>
      </c>
      <c r="G1148" s="3" t="s">
        <v>6</v>
      </c>
      <c r="H1148" s="3" t="s">
        <v>7</v>
      </c>
      <c r="I1148" s="6" t="s">
        <v>8</v>
      </c>
      <c r="J1148" s="2" t="s">
        <v>9</v>
      </c>
      <c r="K1148" s="3" t="s">
        <v>10</v>
      </c>
      <c r="L1148" s="2" t="s">
        <v>9</v>
      </c>
    </row>
    <row r="1149" spans="1:12" x14ac:dyDescent="0.25">
      <c r="A1149" s="4">
        <v>45829</v>
      </c>
      <c r="B1149" t="s">
        <v>570</v>
      </c>
      <c r="C1149" t="s">
        <v>571</v>
      </c>
      <c r="F1149" s="5">
        <v>13588</v>
      </c>
      <c r="I1149" s="7" t="s">
        <v>25</v>
      </c>
      <c r="J1149" s="5">
        <v>220000</v>
      </c>
    </row>
    <row r="1150" spans="1:12" x14ac:dyDescent="0.25">
      <c r="I1150" s="7" t="s">
        <v>572</v>
      </c>
      <c r="J1150" s="5">
        <v>10000</v>
      </c>
    </row>
    <row r="1151" spans="1:12" x14ac:dyDescent="0.25">
      <c r="I1151" s="7" t="s">
        <v>390</v>
      </c>
      <c r="J1151" s="5">
        <v>6000</v>
      </c>
    </row>
    <row r="1153" spans="1:12" x14ac:dyDescent="0.25">
      <c r="I1153" s="7" t="s">
        <v>20</v>
      </c>
      <c r="J1153" s="5">
        <f>SUM(J1149:J1152)</f>
        <v>236000</v>
      </c>
    </row>
    <row r="1155" spans="1:12" x14ac:dyDescent="0.25">
      <c r="A1155" s="1" t="s">
        <v>0</v>
      </c>
      <c r="B1155" s="1" t="s">
        <v>1</v>
      </c>
      <c r="C1155" s="1" t="s">
        <v>2</v>
      </c>
      <c r="D1155" s="1" t="s">
        <v>3</v>
      </c>
      <c r="E1155" s="1" t="s">
        <v>4</v>
      </c>
      <c r="F1155" s="2" t="s">
        <v>5</v>
      </c>
      <c r="G1155" s="3" t="s">
        <v>6</v>
      </c>
      <c r="H1155" s="3" t="s">
        <v>7</v>
      </c>
      <c r="I1155" s="6" t="s">
        <v>8</v>
      </c>
      <c r="J1155" s="2" t="s">
        <v>9</v>
      </c>
      <c r="K1155" s="3" t="s">
        <v>10</v>
      </c>
      <c r="L1155" s="2" t="s">
        <v>9</v>
      </c>
    </row>
    <row r="1156" spans="1:12" x14ac:dyDescent="0.25">
      <c r="A1156" s="4">
        <v>45829</v>
      </c>
      <c r="B1156" t="s">
        <v>11</v>
      </c>
      <c r="C1156" t="s">
        <v>573</v>
      </c>
      <c r="D1156" t="s">
        <v>53</v>
      </c>
      <c r="E1156">
        <v>2017</v>
      </c>
      <c r="F1156" s="5">
        <v>41736</v>
      </c>
      <c r="G1156" t="s">
        <v>574</v>
      </c>
      <c r="H1156">
        <v>3133397455</v>
      </c>
      <c r="I1156" s="7" t="s">
        <v>16</v>
      </c>
      <c r="J1156" s="5">
        <v>350000</v>
      </c>
    </row>
    <row r="1157" spans="1:12" x14ac:dyDescent="0.25">
      <c r="I1157" s="7" t="s">
        <v>17</v>
      </c>
      <c r="J1157" s="5">
        <v>70000</v>
      </c>
    </row>
    <row r="1158" spans="1:12" x14ac:dyDescent="0.25">
      <c r="I1158" s="7" t="s">
        <v>18</v>
      </c>
      <c r="J1158" s="5">
        <v>60000</v>
      </c>
    </row>
    <row r="1159" spans="1:12" x14ac:dyDescent="0.25">
      <c r="I1159" s="7" t="s">
        <v>575</v>
      </c>
      <c r="J1159" s="5">
        <v>40000</v>
      </c>
    </row>
    <row r="1160" spans="1:12" x14ac:dyDescent="0.25">
      <c r="I1160" s="7" t="s">
        <v>576</v>
      </c>
      <c r="J1160" s="5">
        <v>750000</v>
      </c>
    </row>
    <row r="1161" spans="1:12" x14ac:dyDescent="0.25">
      <c r="I1161" s="7" t="s">
        <v>77</v>
      </c>
      <c r="J1161" s="5">
        <v>22000</v>
      </c>
    </row>
    <row r="1163" spans="1:12" x14ac:dyDescent="0.25">
      <c r="I1163" s="7" t="s">
        <v>20</v>
      </c>
      <c r="J1163" s="5">
        <f>SUM(J1156:J1162)</f>
        <v>1292000</v>
      </c>
    </row>
    <row r="1165" spans="1:12" x14ac:dyDescent="0.25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4</v>
      </c>
      <c r="F1165" s="2" t="s">
        <v>5</v>
      </c>
      <c r="G1165" s="3" t="s">
        <v>6</v>
      </c>
      <c r="H1165" s="3" t="s">
        <v>7</v>
      </c>
      <c r="I1165" s="6" t="s">
        <v>8</v>
      </c>
      <c r="J1165" s="2" t="s">
        <v>9</v>
      </c>
      <c r="K1165" s="3" t="s">
        <v>10</v>
      </c>
      <c r="L1165" s="2" t="s">
        <v>9</v>
      </c>
    </row>
    <row r="1166" spans="1:12" x14ac:dyDescent="0.25">
      <c r="A1166" s="4">
        <v>45829</v>
      </c>
      <c r="B1166" t="s">
        <v>577</v>
      </c>
      <c r="C1166" t="s">
        <v>578</v>
      </c>
      <c r="F1166" s="5">
        <v>7379</v>
      </c>
      <c r="I1166" s="7" t="s">
        <v>579</v>
      </c>
    </row>
    <row r="1167" spans="1:12" x14ac:dyDescent="0.25">
      <c r="I1167" s="7" t="s">
        <v>580</v>
      </c>
    </row>
    <row r="1169" spans="1:12" x14ac:dyDescent="0.25">
      <c r="I1169" s="7" t="s">
        <v>20</v>
      </c>
      <c r="J1169" s="5">
        <v>80000</v>
      </c>
    </row>
    <row r="1171" spans="1:12" x14ac:dyDescent="0.25">
      <c r="A1171" s="1" t="s">
        <v>0</v>
      </c>
      <c r="B1171" s="1" t="s">
        <v>1</v>
      </c>
      <c r="C1171" s="1" t="s">
        <v>2</v>
      </c>
      <c r="D1171" s="1" t="s">
        <v>3</v>
      </c>
      <c r="E1171" s="1" t="s">
        <v>4</v>
      </c>
      <c r="F1171" s="2" t="s">
        <v>5</v>
      </c>
      <c r="G1171" s="3" t="s">
        <v>6</v>
      </c>
      <c r="H1171" s="3" t="s">
        <v>7</v>
      </c>
      <c r="I1171" s="6" t="s">
        <v>8</v>
      </c>
      <c r="J1171" s="2" t="s">
        <v>9</v>
      </c>
      <c r="K1171" s="3" t="s">
        <v>10</v>
      </c>
      <c r="L1171" s="2" t="s">
        <v>9</v>
      </c>
    </row>
    <row r="1172" spans="1:12" x14ac:dyDescent="0.25">
      <c r="A1172" s="4">
        <v>45829</v>
      </c>
      <c r="B1172" t="s">
        <v>528</v>
      </c>
      <c r="C1172" t="s">
        <v>529</v>
      </c>
      <c r="I1172" s="7" t="s">
        <v>581</v>
      </c>
    </row>
    <row r="1174" spans="1:12" x14ac:dyDescent="0.25">
      <c r="I1174" s="7" t="s">
        <v>20</v>
      </c>
    </row>
    <row r="1176" spans="1:12" x14ac:dyDescent="0.25">
      <c r="A1176" s="1" t="s">
        <v>0</v>
      </c>
      <c r="B1176" s="1" t="s">
        <v>1</v>
      </c>
      <c r="C1176" s="1" t="s">
        <v>2</v>
      </c>
      <c r="D1176" s="1" t="s">
        <v>3</v>
      </c>
      <c r="E1176" s="1" t="s">
        <v>4</v>
      </c>
      <c r="F1176" s="2" t="s">
        <v>5</v>
      </c>
      <c r="G1176" s="3" t="s">
        <v>6</v>
      </c>
      <c r="H1176" s="3" t="s">
        <v>7</v>
      </c>
      <c r="I1176" s="6" t="s">
        <v>8</v>
      </c>
      <c r="J1176" s="2" t="s">
        <v>9</v>
      </c>
      <c r="K1176" s="3" t="s">
        <v>10</v>
      </c>
      <c r="L1176" s="2" t="s">
        <v>9</v>
      </c>
    </row>
    <row r="1177" spans="1:12" x14ac:dyDescent="0.25">
      <c r="A1177" s="4">
        <v>45829</v>
      </c>
      <c r="B1177" t="s">
        <v>89</v>
      </c>
      <c r="C1177" t="s">
        <v>507</v>
      </c>
      <c r="D1177" t="s">
        <v>53</v>
      </c>
      <c r="F1177" s="5">
        <v>80299</v>
      </c>
      <c r="G1177" t="s">
        <v>508</v>
      </c>
      <c r="I1177" s="7" t="s">
        <v>509</v>
      </c>
      <c r="J1177" s="5">
        <v>723000</v>
      </c>
    </row>
    <row r="1178" spans="1:12" x14ac:dyDescent="0.25">
      <c r="I1178" s="7" t="s">
        <v>181</v>
      </c>
      <c r="J1178" s="5">
        <v>550000</v>
      </c>
    </row>
    <row r="1179" spans="1:12" x14ac:dyDescent="0.25">
      <c r="I1179" s="7" t="s">
        <v>510</v>
      </c>
      <c r="J1179" s="5">
        <v>250000</v>
      </c>
    </row>
    <row r="1180" spans="1:12" x14ac:dyDescent="0.25">
      <c r="I1180" s="7" t="s">
        <v>511</v>
      </c>
      <c r="J1180" s="5">
        <v>40000</v>
      </c>
    </row>
    <row r="1181" spans="1:12" x14ac:dyDescent="0.25">
      <c r="I1181" s="7" t="s">
        <v>512</v>
      </c>
      <c r="J1181" s="5">
        <v>30000</v>
      </c>
    </row>
    <row r="1182" spans="1:12" x14ac:dyDescent="0.25">
      <c r="I1182" s="7" t="s">
        <v>470</v>
      </c>
      <c r="J1182" s="5">
        <v>40000</v>
      </c>
    </row>
    <row r="1183" spans="1:12" x14ac:dyDescent="0.25">
      <c r="I1183" s="7" t="s">
        <v>312</v>
      </c>
      <c r="J1183" s="5">
        <v>150000</v>
      </c>
    </row>
    <row r="1184" spans="1:12" x14ac:dyDescent="0.25">
      <c r="I1184" s="7" t="s">
        <v>582</v>
      </c>
      <c r="J1184" s="5">
        <v>180000</v>
      </c>
    </row>
    <row r="1186" spans="1:12" x14ac:dyDescent="0.25">
      <c r="I1186" s="7" t="s">
        <v>20</v>
      </c>
      <c r="J1186" s="5">
        <f>SUM(J1177:J1185)</f>
        <v>1963000</v>
      </c>
    </row>
    <row r="1188" spans="1:12" x14ac:dyDescent="0.25">
      <c r="A1188" s="1" t="s">
        <v>0</v>
      </c>
      <c r="B1188" s="1" t="s">
        <v>1</v>
      </c>
      <c r="C1188" s="1" t="s">
        <v>2</v>
      </c>
      <c r="D1188" s="1" t="s">
        <v>3</v>
      </c>
      <c r="E1188" s="1" t="s">
        <v>4</v>
      </c>
      <c r="F1188" s="2" t="s">
        <v>5</v>
      </c>
      <c r="G1188" s="3" t="s">
        <v>6</v>
      </c>
      <c r="H1188" s="3" t="s">
        <v>7</v>
      </c>
      <c r="I1188" s="6" t="s">
        <v>8</v>
      </c>
      <c r="J1188" s="2" t="s">
        <v>9</v>
      </c>
      <c r="K1188" s="3" t="s">
        <v>10</v>
      </c>
      <c r="L1188" s="2" t="s">
        <v>9</v>
      </c>
    </row>
    <row r="1189" spans="1:12" x14ac:dyDescent="0.25">
      <c r="A1189" s="4">
        <v>45829</v>
      </c>
      <c r="B1189" t="s">
        <v>21</v>
      </c>
      <c r="C1189" t="s">
        <v>583</v>
      </c>
      <c r="D1189" t="s">
        <v>23</v>
      </c>
      <c r="E1189">
        <v>2017</v>
      </c>
      <c r="F1189" s="5">
        <v>24223</v>
      </c>
      <c r="G1189" t="s">
        <v>584</v>
      </c>
      <c r="I1189" s="7" t="s">
        <v>585</v>
      </c>
      <c r="J1189" s="5">
        <v>80000</v>
      </c>
    </row>
    <row r="1190" spans="1:12" x14ac:dyDescent="0.25">
      <c r="I1190" s="7" t="s">
        <v>586</v>
      </c>
      <c r="J1190" s="5">
        <v>1600000</v>
      </c>
    </row>
    <row r="1191" spans="1:12" x14ac:dyDescent="0.25">
      <c r="I1191" s="7" t="s">
        <v>150</v>
      </c>
      <c r="J1191" s="5">
        <v>150000</v>
      </c>
    </row>
    <row r="1192" spans="1:12" x14ac:dyDescent="0.25">
      <c r="J1192" s="5">
        <v>49000</v>
      </c>
    </row>
    <row r="1193" spans="1:12" x14ac:dyDescent="0.25">
      <c r="J1193" s="5">
        <v>22000</v>
      </c>
    </row>
    <row r="1194" spans="1:12" x14ac:dyDescent="0.25">
      <c r="J1194" s="5">
        <v>17000</v>
      </c>
    </row>
    <row r="1196" spans="1:12" x14ac:dyDescent="0.25">
      <c r="I1196" s="7" t="s">
        <v>20</v>
      </c>
      <c r="J1196" s="5">
        <f>SUM(J1189:J1195)</f>
        <v>1918000</v>
      </c>
    </row>
    <row r="1198" spans="1:12" x14ac:dyDescent="0.25">
      <c r="A1198" s="1" t="s">
        <v>0</v>
      </c>
      <c r="B1198" s="1" t="s">
        <v>1</v>
      </c>
      <c r="C1198" s="1" t="s">
        <v>2</v>
      </c>
      <c r="D1198" s="1" t="s">
        <v>3</v>
      </c>
      <c r="E1198" s="1" t="s">
        <v>4</v>
      </c>
      <c r="F1198" s="2" t="s">
        <v>5</v>
      </c>
      <c r="G1198" s="3" t="s">
        <v>6</v>
      </c>
      <c r="H1198" s="3" t="s">
        <v>7</v>
      </c>
      <c r="I1198" s="6" t="s">
        <v>8</v>
      </c>
      <c r="J1198" s="2" t="s">
        <v>9</v>
      </c>
      <c r="K1198" s="3" t="s">
        <v>10</v>
      </c>
      <c r="L1198" s="2" t="s">
        <v>9</v>
      </c>
    </row>
    <row r="1199" spans="1:12" x14ac:dyDescent="0.25">
      <c r="A1199" s="4">
        <v>45829</v>
      </c>
      <c r="B1199" t="s">
        <v>587</v>
      </c>
      <c r="C1199" t="s">
        <v>588</v>
      </c>
      <c r="F1199" s="5">
        <v>116280</v>
      </c>
      <c r="I1199" s="7" t="s">
        <v>126</v>
      </c>
      <c r="J1199" s="5">
        <v>133000</v>
      </c>
    </row>
    <row r="1200" spans="1:12" x14ac:dyDescent="0.25">
      <c r="I1200" s="7" t="s">
        <v>25</v>
      </c>
      <c r="J1200" s="5">
        <v>35000</v>
      </c>
    </row>
    <row r="1201" spans="1:12" x14ac:dyDescent="0.25">
      <c r="I1201" s="7" t="s">
        <v>17</v>
      </c>
      <c r="J1201" s="5">
        <v>40000</v>
      </c>
    </row>
    <row r="1202" spans="1:12" x14ac:dyDescent="0.25">
      <c r="I1202" s="7" t="s">
        <v>589</v>
      </c>
      <c r="J1202" s="5">
        <v>20000</v>
      </c>
    </row>
    <row r="1204" spans="1:12" x14ac:dyDescent="0.25">
      <c r="I1204" s="7" t="s">
        <v>20</v>
      </c>
      <c r="J1204" s="5">
        <f>SUM(J1199:J1203)</f>
        <v>228000</v>
      </c>
    </row>
    <row r="1206" spans="1:12" x14ac:dyDescent="0.25">
      <c r="A1206" s="1" t="s">
        <v>0</v>
      </c>
      <c r="B1206" s="1" t="s">
        <v>1</v>
      </c>
      <c r="C1206" s="1" t="s">
        <v>2</v>
      </c>
      <c r="D1206" s="1" t="s">
        <v>3</v>
      </c>
      <c r="E1206" s="1" t="s">
        <v>4</v>
      </c>
      <c r="F1206" s="2" t="s">
        <v>5</v>
      </c>
      <c r="G1206" s="3" t="s">
        <v>6</v>
      </c>
      <c r="H1206" s="3" t="s">
        <v>7</v>
      </c>
      <c r="I1206" s="6" t="s">
        <v>8</v>
      </c>
      <c r="J1206" s="2" t="s">
        <v>9</v>
      </c>
      <c r="K1206" s="3" t="s">
        <v>10</v>
      </c>
      <c r="L1206" s="2" t="s">
        <v>9</v>
      </c>
    </row>
    <row r="1207" spans="1:12" x14ac:dyDescent="0.25">
      <c r="A1207" s="4">
        <v>45833</v>
      </c>
      <c r="B1207" t="s">
        <v>393</v>
      </c>
      <c r="C1207" t="s">
        <v>617</v>
      </c>
      <c r="D1207" t="s">
        <v>29</v>
      </c>
      <c r="I1207" s="7" t="s">
        <v>17</v>
      </c>
      <c r="J1207" s="5">
        <v>144000</v>
      </c>
    </row>
    <row r="1208" spans="1:12" x14ac:dyDescent="0.25">
      <c r="I1208" s="7" t="s">
        <v>18</v>
      </c>
      <c r="J1208" s="5">
        <v>46000</v>
      </c>
    </row>
    <row r="1209" spans="1:12" x14ac:dyDescent="0.25">
      <c r="I1209" s="7" t="s">
        <v>48</v>
      </c>
      <c r="J1209" s="5">
        <v>225000</v>
      </c>
    </row>
    <row r="1210" spans="1:12" x14ac:dyDescent="0.25">
      <c r="I1210" s="7" t="s">
        <v>77</v>
      </c>
      <c r="J1210" s="5">
        <v>20000</v>
      </c>
    </row>
    <row r="1211" spans="1:12" x14ac:dyDescent="0.25">
      <c r="I1211" s="7" t="s">
        <v>100</v>
      </c>
      <c r="J1211" s="5">
        <v>70000</v>
      </c>
    </row>
    <row r="1213" spans="1:12" x14ac:dyDescent="0.25">
      <c r="I1213" s="7" t="s">
        <v>20</v>
      </c>
      <c r="J1213" s="5">
        <f>SUM(J1207:J1212)</f>
        <v>505000</v>
      </c>
    </row>
    <row r="1215" spans="1:12" x14ac:dyDescent="0.25">
      <c r="A1215" s="1" t="s">
        <v>0</v>
      </c>
      <c r="B1215" s="1" t="s">
        <v>1</v>
      </c>
      <c r="C1215" s="1" t="s">
        <v>2</v>
      </c>
      <c r="D1215" s="1" t="s">
        <v>3</v>
      </c>
      <c r="E1215" s="1" t="s">
        <v>4</v>
      </c>
      <c r="F1215" s="2" t="s">
        <v>5</v>
      </c>
      <c r="G1215" s="3" t="s">
        <v>6</v>
      </c>
      <c r="H1215" s="3" t="s">
        <v>7</v>
      </c>
      <c r="I1215" s="6" t="s">
        <v>8</v>
      </c>
      <c r="J1215" s="2" t="s">
        <v>9</v>
      </c>
      <c r="K1215" s="3" t="s">
        <v>10</v>
      </c>
      <c r="L1215" s="2" t="s">
        <v>9</v>
      </c>
    </row>
    <row r="1216" spans="1:12" x14ac:dyDescent="0.25">
      <c r="A1216" s="4">
        <v>45833</v>
      </c>
      <c r="B1216" t="s">
        <v>21</v>
      </c>
      <c r="C1216" t="s">
        <v>593</v>
      </c>
      <c r="D1216" t="s">
        <v>29</v>
      </c>
      <c r="F1216" s="5">
        <v>70229</v>
      </c>
      <c r="G1216" t="s">
        <v>594</v>
      </c>
      <c r="I1216" s="7" t="s">
        <v>245</v>
      </c>
      <c r="J1216" s="5">
        <v>140000</v>
      </c>
    </row>
    <row r="1217" spans="1:12" x14ac:dyDescent="0.25">
      <c r="I1217" s="7" t="s">
        <v>265</v>
      </c>
      <c r="J1217" s="5">
        <v>35000</v>
      </c>
    </row>
    <row r="1218" spans="1:12" x14ac:dyDescent="0.25">
      <c r="I1218" s="7" t="s">
        <v>312</v>
      </c>
      <c r="J1218" s="5">
        <v>90000</v>
      </c>
    </row>
    <row r="1219" spans="1:12" x14ac:dyDescent="0.25">
      <c r="I1219" s="7" t="s">
        <v>595</v>
      </c>
      <c r="J1219" s="5">
        <v>30000</v>
      </c>
    </row>
    <row r="1221" spans="1:12" x14ac:dyDescent="0.25">
      <c r="I1221" s="7" t="s">
        <v>20</v>
      </c>
      <c r="J1221" s="5">
        <f>SUM(J1216:J1220)</f>
        <v>295000</v>
      </c>
    </row>
    <row r="1223" spans="1:12" x14ac:dyDescent="0.25">
      <c r="A1223" s="1" t="s">
        <v>0</v>
      </c>
      <c r="B1223" s="1" t="s">
        <v>1</v>
      </c>
      <c r="C1223" s="1" t="s">
        <v>2</v>
      </c>
      <c r="D1223" s="1" t="s">
        <v>3</v>
      </c>
      <c r="E1223" s="1" t="s">
        <v>4</v>
      </c>
      <c r="F1223" s="2" t="s">
        <v>5</v>
      </c>
      <c r="G1223" s="3" t="s">
        <v>6</v>
      </c>
      <c r="H1223" s="3" t="s">
        <v>7</v>
      </c>
      <c r="I1223" s="6" t="s">
        <v>8</v>
      </c>
      <c r="J1223" s="2" t="s">
        <v>9</v>
      </c>
      <c r="K1223" s="3" t="s">
        <v>10</v>
      </c>
      <c r="L1223" s="2" t="s">
        <v>9</v>
      </c>
    </row>
    <row r="1224" spans="1:12" x14ac:dyDescent="0.25">
      <c r="A1224" s="4">
        <v>45833</v>
      </c>
      <c r="B1224" t="s">
        <v>1195</v>
      </c>
      <c r="C1224" t="s">
        <v>1196</v>
      </c>
      <c r="F1224" s="5">
        <v>37886</v>
      </c>
      <c r="G1224" t="s">
        <v>453</v>
      </c>
      <c r="H1224">
        <v>3123863516</v>
      </c>
      <c r="I1224" s="7" t="s">
        <v>920</v>
      </c>
      <c r="J1224" s="5">
        <v>220000</v>
      </c>
    </row>
    <row r="1225" spans="1:12" x14ac:dyDescent="0.25">
      <c r="I1225" s="7" t="s">
        <v>77</v>
      </c>
      <c r="J1225" s="5">
        <v>22000</v>
      </c>
    </row>
    <row r="1226" spans="1:12" x14ac:dyDescent="0.25">
      <c r="I1226" s="7" t="s">
        <v>172</v>
      </c>
      <c r="J1226" s="5">
        <v>228000</v>
      </c>
    </row>
    <row r="1227" spans="1:12" x14ac:dyDescent="0.25">
      <c r="I1227" s="7" t="s">
        <v>1197</v>
      </c>
    </row>
    <row r="1229" spans="1:12" x14ac:dyDescent="0.25">
      <c r="I1229" s="7" t="s">
        <v>850</v>
      </c>
      <c r="J1229" s="5">
        <f>SUM(J1224:J1228)</f>
        <v>470000</v>
      </c>
    </row>
    <row r="1231" spans="1:12" x14ac:dyDescent="0.25">
      <c r="A1231" s="1" t="s">
        <v>0</v>
      </c>
      <c r="B1231" s="1" t="s">
        <v>1</v>
      </c>
      <c r="C1231" s="1" t="s">
        <v>2</v>
      </c>
      <c r="D1231" s="1" t="s">
        <v>3</v>
      </c>
      <c r="E1231" s="1" t="s">
        <v>4</v>
      </c>
      <c r="F1231" s="2" t="s">
        <v>5</v>
      </c>
      <c r="G1231" s="3" t="s">
        <v>6</v>
      </c>
      <c r="H1231" s="3" t="s">
        <v>7</v>
      </c>
      <c r="I1231" s="6" t="s">
        <v>8</v>
      </c>
      <c r="J1231" s="2" t="s">
        <v>9</v>
      </c>
      <c r="K1231" s="3" t="s">
        <v>10</v>
      </c>
      <c r="L1231" s="2" t="s">
        <v>9</v>
      </c>
    </row>
    <row r="1232" spans="1:12" x14ac:dyDescent="0.25">
      <c r="A1232" s="4">
        <v>45834</v>
      </c>
      <c r="B1232" t="s">
        <v>596</v>
      </c>
      <c r="C1232" t="s">
        <v>597</v>
      </c>
      <c r="D1232" t="s">
        <v>23</v>
      </c>
      <c r="F1232" s="5">
        <v>54843</v>
      </c>
      <c r="G1232" t="s">
        <v>598</v>
      </c>
      <c r="H1232">
        <v>3223655893</v>
      </c>
      <c r="I1232" s="7" t="s">
        <v>16</v>
      </c>
      <c r="J1232" s="5">
        <v>280000</v>
      </c>
    </row>
    <row r="1233" spans="1:12" x14ac:dyDescent="0.25">
      <c r="I1233" s="7" t="s">
        <v>26</v>
      </c>
      <c r="J1233" s="5">
        <v>40000</v>
      </c>
    </row>
    <row r="1234" spans="1:12" x14ac:dyDescent="0.25">
      <c r="I1234" s="7" t="s">
        <v>15</v>
      </c>
      <c r="J1234" s="5">
        <v>180000</v>
      </c>
    </row>
    <row r="1235" spans="1:12" x14ac:dyDescent="0.25">
      <c r="I1235" s="7" t="s">
        <v>17</v>
      </c>
      <c r="J1235" s="5">
        <v>48000</v>
      </c>
    </row>
    <row r="1236" spans="1:12" x14ac:dyDescent="0.25">
      <c r="I1236" s="7" t="s">
        <v>18</v>
      </c>
      <c r="J1236" s="5">
        <v>18000</v>
      </c>
    </row>
    <row r="1237" spans="1:12" x14ac:dyDescent="0.25">
      <c r="I1237" s="7" t="s">
        <v>77</v>
      </c>
      <c r="J1237" s="5">
        <v>22000</v>
      </c>
    </row>
    <row r="1238" spans="1:12" x14ac:dyDescent="0.25">
      <c r="I1238" s="7" t="s">
        <v>25</v>
      </c>
      <c r="J1238" s="5">
        <v>40000</v>
      </c>
    </row>
    <row r="1240" spans="1:12" x14ac:dyDescent="0.25">
      <c r="I1240" s="7" t="s">
        <v>20</v>
      </c>
      <c r="J1240" s="5">
        <f>SUM(J1232:J1239)</f>
        <v>628000</v>
      </c>
    </row>
    <row r="1242" spans="1:12" x14ac:dyDescent="0.25">
      <c r="A1242" s="1" t="s">
        <v>0</v>
      </c>
      <c r="B1242" s="1" t="s">
        <v>1</v>
      </c>
      <c r="C1242" s="1" t="s">
        <v>2</v>
      </c>
      <c r="D1242" s="1" t="s">
        <v>3</v>
      </c>
      <c r="E1242" s="1" t="s">
        <v>4</v>
      </c>
      <c r="F1242" s="2" t="s">
        <v>5</v>
      </c>
      <c r="G1242" s="3" t="s">
        <v>6</v>
      </c>
      <c r="H1242" s="3" t="s">
        <v>7</v>
      </c>
      <c r="I1242" s="6" t="s">
        <v>8</v>
      </c>
      <c r="J1242" s="2" t="s">
        <v>9</v>
      </c>
      <c r="K1242" s="3" t="s">
        <v>10</v>
      </c>
      <c r="L1242" s="2" t="s">
        <v>9</v>
      </c>
    </row>
    <row r="1243" spans="1:12" x14ac:dyDescent="0.25">
      <c r="A1243" s="4">
        <v>45834</v>
      </c>
      <c r="B1243" t="s">
        <v>635</v>
      </c>
      <c r="C1243" t="s">
        <v>636</v>
      </c>
      <c r="D1243" t="s">
        <v>153</v>
      </c>
      <c r="F1243" s="5">
        <v>16211</v>
      </c>
      <c r="I1243" s="7" t="s">
        <v>17</v>
      </c>
      <c r="J1243" s="5">
        <v>48000</v>
      </c>
    </row>
    <row r="1244" spans="1:12" x14ac:dyDescent="0.25">
      <c r="I1244" s="7" t="s">
        <v>18</v>
      </c>
      <c r="J1244" s="5">
        <v>18000</v>
      </c>
    </row>
    <row r="1245" spans="1:12" x14ac:dyDescent="0.25">
      <c r="I1245" s="7" t="s">
        <v>525</v>
      </c>
      <c r="J1245" s="5">
        <v>10000</v>
      </c>
    </row>
    <row r="1246" spans="1:12" x14ac:dyDescent="0.25">
      <c r="I1246" s="7" t="s">
        <v>100</v>
      </c>
      <c r="J1246" s="5">
        <v>15000</v>
      </c>
    </row>
    <row r="1248" spans="1:12" x14ac:dyDescent="0.25">
      <c r="I1248" s="7" t="s">
        <v>20</v>
      </c>
      <c r="J1248" s="5">
        <f>SUM(J1243:J1247)</f>
        <v>91000</v>
      </c>
    </row>
    <row r="1250" spans="1:12" x14ac:dyDescent="0.25">
      <c r="A1250" s="1" t="s">
        <v>0</v>
      </c>
      <c r="B1250" s="1" t="s">
        <v>1</v>
      </c>
      <c r="C1250" s="1" t="s">
        <v>2</v>
      </c>
      <c r="D1250" s="1" t="s">
        <v>3</v>
      </c>
      <c r="E1250" s="1" t="s">
        <v>4</v>
      </c>
      <c r="F1250" s="2" t="s">
        <v>5</v>
      </c>
      <c r="G1250" s="3" t="s">
        <v>6</v>
      </c>
      <c r="H1250" s="3" t="s">
        <v>7</v>
      </c>
      <c r="I1250" s="6" t="s">
        <v>8</v>
      </c>
      <c r="J1250" s="2" t="s">
        <v>9</v>
      </c>
      <c r="K1250" s="3" t="s">
        <v>10</v>
      </c>
      <c r="L1250" s="2" t="s">
        <v>9</v>
      </c>
    </row>
    <row r="1251" spans="1:12" x14ac:dyDescent="0.25">
      <c r="A1251" s="4">
        <v>45834</v>
      </c>
      <c r="B1251" t="s">
        <v>637</v>
      </c>
      <c r="C1251" t="s">
        <v>638</v>
      </c>
      <c r="D1251" t="s">
        <v>153</v>
      </c>
      <c r="F1251" s="5">
        <v>9845</v>
      </c>
      <c r="G1251" t="s">
        <v>91</v>
      </c>
      <c r="I1251" s="7" t="s">
        <v>17</v>
      </c>
      <c r="J1251" s="5">
        <v>240000</v>
      </c>
    </row>
    <row r="1252" spans="1:12" x14ac:dyDescent="0.25">
      <c r="I1252" s="7" t="s">
        <v>18</v>
      </c>
      <c r="J1252" s="5">
        <v>48000</v>
      </c>
    </row>
    <row r="1253" spans="1:12" x14ac:dyDescent="0.25">
      <c r="I1253" s="7" t="s">
        <v>100</v>
      </c>
      <c r="J1253" s="5">
        <v>80000</v>
      </c>
    </row>
    <row r="1255" spans="1:12" x14ac:dyDescent="0.25">
      <c r="I1255" s="7" t="s">
        <v>20</v>
      </c>
      <c r="J1255" s="5">
        <f>SUM(J1251:J1254)</f>
        <v>368000</v>
      </c>
    </row>
    <row r="1257" spans="1:12" x14ac:dyDescent="0.25">
      <c r="A1257" s="1" t="s">
        <v>0</v>
      </c>
      <c r="B1257" s="1" t="s">
        <v>1</v>
      </c>
      <c r="C1257" s="1" t="s">
        <v>2</v>
      </c>
      <c r="D1257" s="1" t="s">
        <v>3</v>
      </c>
      <c r="E1257" s="1" t="s">
        <v>4</v>
      </c>
      <c r="F1257" s="2" t="s">
        <v>5</v>
      </c>
      <c r="G1257" s="3" t="s">
        <v>6</v>
      </c>
      <c r="H1257" s="3" t="s">
        <v>7</v>
      </c>
      <c r="I1257" s="6" t="s">
        <v>8</v>
      </c>
      <c r="J1257" s="2" t="s">
        <v>9</v>
      </c>
      <c r="K1257" s="3" t="s">
        <v>10</v>
      </c>
      <c r="L1257" s="2" t="s">
        <v>9</v>
      </c>
    </row>
    <row r="1258" spans="1:12" x14ac:dyDescent="0.25">
      <c r="A1258" s="4">
        <v>45834</v>
      </c>
      <c r="B1258" t="s">
        <v>639</v>
      </c>
      <c r="C1258" t="s">
        <v>640</v>
      </c>
      <c r="D1258" t="s">
        <v>29</v>
      </c>
      <c r="F1258" s="5">
        <v>14545</v>
      </c>
      <c r="I1258" s="7" t="s">
        <v>16</v>
      </c>
      <c r="J1258" s="5">
        <v>270000</v>
      </c>
    </row>
    <row r="1259" spans="1:12" x14ac:dyDescent="0.25">
      <c r="I1259" s="7" t="s">
        <v>641</v>
      </c>
    </row>
    <row r="1260" spans="1:12" x14ac:dyDescent="0.25">
      <c r="I1260" s="7" t="s">
        <v>642</v>
      </c>
      <c r="J1260" s="5">
        <v>120000</v>
      </c>
    </row>
    <row r="1261" spans="1:12" x14ac:dyDescent="0.25">
      <c r="I1261" s="7" t="s">
        <v>77</v>
      </c>
      <c r="J1261" s="5">
        <v>22000</v>
      </c>
    </row>
    <row r="1262" spans="1:12" x14ac:dyDescent="0.25">
      <c r="I1262" s="7" t="s">
        <v>26</v>
      </c>
      <c r="J1262" s="5">
        <v>40000</v>
      </c>
    </row>
    <row r="1263" spans="1:12" x14ac:dyDescent="0.25">
      <c r="I1263" s="7" t="s">
        <v>643</v>
      </c>
      <c r="J1263" s="5">
        <v>40000</v>
      </c>
    </row>
    <row r="1264" spans="1:12" x14ac:dyDescent="0.25">
      <c r="I1264" s="7" t="s">
        <v>17</v>
      </c>
      <c r="J1264" s="5">
        <v>48000</v>
      </c>
    </row>
    <row r="1265" spans="1:20" x14ac:dyDescent="0.25">
      <c r="I1265" s="7" t="s">
        <v>18</v>
      </c>
      <c r="J1265" s="5">
        <v>18000</v>
      </c>
    </row>
    <row r="1267" spans="1:20" x14ac:dyDescent="0.25">
      <c r="I1267" s="7" t="s">
        <v>20</v>
      </c>
      <c r="J1267" s="5">
        <f>SUM(J1258:J1266)</f>
        <v>558000</v>
      </c>
    </row>
    <row r="1269" spans="1:20" x14ac:dyDescent="0.25">
      <c r="A1269" s="1" t="s">
        <v>0</v>
      </c>
      <c r="B1269" s="1" t="s">
        <v>1</v>
      </c>
      <c r="C1269" s="1" t="s">
        <v>2</v>
      </c>
      <c r="D1269" s="1" t="s">
        <v>3</v>
      </c>
      <c r="E1269" s="1" t="s">
        <v>4</v>
      </c>
      <c r="F1269" s="2" t="s">
        <v>5</v>
      </c>
      <c r="G1269" s="3" t="s">
        <v>6</v>
      </c>
      <c r="H1269" s="3" t="s">
        <v>7</v>
      </c>
      <c r="I1269" s="6" t="s">
        <v>8</v>
      </c>
      <c r="J1269" s="2" t="s">
        <v>9</v>
      </c>
      <c r="K1269" s="3" t="s">
        <v>10</v>
      </c>
      <c r="L1269" s="2" t="s">
        <v>9</v>
      </c>
    </row>
    <row r="1270" spans="1:20" x14ac:dyDescent="0.25">
      <c r="A1270" s="4">
        <v>45835</v>
      </c>
      <c r="B1270" t="s">
        <v>860</v>
      </c>
      <c r="C1270" t="s">
        <v>1198</v>
      </c>
      <c r="E1270">
        <v>2022</v>
      </c>
      <c r="F1270" s="5">
        <v>44400</v>
      </c>
      <c r="G1270" t="s">
        <v>1199</v>
      </c>
      <c r="H1270">
        <v>3204029748</v>
      </c>
      <c r="I1270" s="7" t="s">
        <v>920</v>
      </c>
      <c r="J1270" s="5">
        <v>220000</v>
      </c>
    </row>
    <row r="1271" spans="1:20" x14ac:dyDescent="0.25">
      <c r="I1271" s="7" t="s">
        <v>17</v>
      </c>
      <c r="J1271" s="5">
        <v>48000</v>
      </c>
    </row>
    <row r="1272" spans="1:20" x14ac:dyDescent="0.25">
      <c r="I1272" s="7" t="s">
        <v>18</v>
      </c>
      <c r="J1272" s="5">
        <v>18000</v>
      </c>
    </row>
    <row r="1273" spans="1:20" x14ac:dyDescent="0.25">
      <c r="I1273" s="7" t="s">
        <v>77</v>
      </c>
      <c r="J1273" s="5">
        <v>32000</v>
      </c>
    </row>
    <row r="1274" spans="1:20" x14ac:dyDescent="0.25">
      <c r="I1274" s="7" t="s">
        <v>25</v>
      </c>
      <c r="J1274" s="5">
        <v>35000</v>
      </c>
    </row>
    <row r="1275" spans="1:20" x14ac:dyDescent="0.25">
      <c r="I1275" s="7" t="s">
        <v>26</v>
      </c>
      <c r="J1275" s="5">
        <v>35000</v>
      </c>
    </row>
    <row r="1277" spans="1:20" x14ac:dyDescent="0.25">
      <c r="I1277" s="7" t="s">
        <v>20</v>
      </c>
      <c r="J1277" s="5">
        <f>SUM(J1270:J1276)</f>
        <v>388000</v>
      </c>
    </row>
    <row r="1279" spans="1:20" x14ac:dyDescent="0.25">
      <c r="A1279" s="1" t="s">
        <v>0</v>
      </c>
      <c r="B1279" s="1" t="s">
        <v>1</v>
      </c>
      <c r="C1279" s="1" t="s">
        <v>2</v>
      </c>
      <c r="D1279" s="1" t="s">
        <v>3</v>
      </c>
      <c r="E1279" s="1" t="s">
        <v>4</v>
      </c>
      <c r="F1279" s="2" t="s">
        <v>5</v>
      </c>
      <c r="G1279" s="3" t="s">
        <v>6</v>
      </c>
      <c r="H1279" s="3" t="s">
        <v>7</v>
      </c>
      <c r="I1279" s="6" t="s">
        <v>8</v>
      </c>
      <c r="J1279" s="2" t="s">
        <v>9</v>
      </c>
      <c r="K1279" s="3" t="s">
        <v>10</v>
      </c>
      <c r="L1279" s="2" t="s">
        <v>9</v>
      </c>
      <c r="S1279" s="6" t="s">
        <v>8</v>
      </c>
      <c r="T1279" s="2" t="s">
        <v>9</v>
      </c>
    </row>
    <row r="1280" spans="1:20" x14ac:dyDescent="0.25">
      <c r="A1280" s="4">
        <v>45836</v>
      </c>
      <c r="B1280" t="s">
        <v>40</v>
      </c>
      <c r="C1280" t="s">
        <v>644</v>
      </c>
      <c r="D1280" t="s">
        <v>29</v>
      </c>
      <c r="G1280" t="s">
        <v>645</v>
      </c>
      <c r="I1280" s="7" t="s">
        <v>363</v>
      </c>
      <c r="J1280" s="5">
        <v>40000</v>
      </c>
      <c r="S1280" s="7" t="s">
        <v>122</v>
      </c>
      <c r="T1280" s="5">
        <v>700000</v>
      </c>
    </row>
    <row r="1281" spans="9:20" x14ac:dyDescent="0.25">
      <c r="I1281" s="7" t="s">
        <v>122</v>
      </c>
      <c r="J1281" s="5">
        <v>700000</v>
      </c>
      <c r="S1281" s="7" t="s">
        <v>125</v>
      </c>
      <c r="T1281" s="5">
        <v>150000</v>
      </c>
    </row>
    <row r="1282" spans="9:20" x14ac:dyDescent="0.25">
      <c r="I1282" s="7" t="s">
        <v>125</v>
      </c>
      <c r="J1282" s="5">
        <v>150000</v>
      </c>
      <c r="S1282" s="7" t="s">
        <v>646</v>
      </c>
      <c r="T1282" s="5">
        <v>301000</v>
      </c>
    </row>
    <row r="1283" spans="9:20" x14ac:dyDescent="0.25">
      <c r="I1283" s="7" t="s">
        <v>646</v>
      </c>
      <c r="J1283" s="5">
        <v>301000</v>
      </c>
      <c r="S1283" s="7" t="s">
        <v>230</v>
      </c>
      <c r="T1283" s="5">
        <v>117600</v>
      </c>
    </row>
    <row r="1284" spans="9:20" x14ac:dyDescent="0.25">
      <c r="I1284" s="7" t="s">
        <v>647</v>
      </c>
      <c r="J1284" s="5">
        <v>117600</v>
      </c>
      <c r="S1284" s="7" t="s">
        <v>17</v>
      </c>
      <c r="T1284" s="5">
        <v>164000</v>
      </c>
    </row>
    <row r="1285" spans="9:20" x14ac:dyDescent="0.25">
      <c r="I1285" s="7" t="s">
        <v>648</v>
      </c>
      <c r="J1285" s="5">
        <v>40000</v>
      </c>
      <c r="S1285" s="7" t="s">
        <v>18</v>
      </c>
      <c r="T1285" s="5">
        <v>46000</v>
      </c>
    </row>
    <row r="1286" spans="9:20" x14ac:dyDescent="0.25">
      <c r="I1286" s="7" t="s">
        <v>649</v>
      </c>
      <c r="J1286" s="5">
        <v>50000</v>
      </c>
      <c r="S1286" s="7" t="s">
        <v>229</v>
      </c>
      <c r="T1286" s="5">
        <v>150000</v>
      </c>
    </row>
    <row r="1287" spans="9:20" x14ac:dyDescent="0.25">
      <c r="I1287" s="7" t="s">
        <v>650</v>
      </c>
      <c r="J1287" s="5">
        <v>90000</v>
      </c>
    </row>
    <row r="1288" spans="9:20" x14ac:dyDescent="0.25">
      <c r="I1288" s="7" t="s">
        <v>651</v>
      </c>
      <c r="J1288" s="5">
        <v>140000</v>
      </c>
      <c r="S1288" s="7"/>
      <c r="T1288" s="5"/>
    </row>
    <row r="1289" spans="9:20" x14ac:dyDescent="0.25">
      <c r="I1289" s="7" t="s">
        <v>17</v>
      </c>
      <c r="J1289" s="5">
        <v>164000</v>
      </c>
      <c r="S1289" s="7"/>
      <c r="T1289" s="5"/>
    </row>
    <row r="1290" spans="9:20" x14ac:dyDescent="0.25">
      <c r="I1290" s="7" t="s">
        <v>18</v>
      </c>
      <c r="J1290" s="5">
        <v>46000</v>
      </c>
      <c r="S1290" s="7" t="s">
        <v>20</v>
      </c>
      <c r="T1290" s="5">
        <f>SUM(T1280:T1289)</f>
        <v>1628600</v>
      </c>
    </row>
    <row r="1291" spans="9:20" x14ac:dyDescent="0.25">
      <c r="I1291" s="7" t="s">
        <v>398</v>
      </c>
      <c r="J1291" s="5">
        <v>60000</v>
      </c>
    </row>
    <row r="1292" spans="9:20" x14ac:dyDescent="0.25">
      <c r="I1292" s="7" t="s">
        <v>652</v>
      </c>
      <c r="J1292" s="5">
        <v>40000</v>
      </c>
    </row>
    <row r="1293" spans="9:20" x14ac:dyDescent="0.25">
      <c r="I1293" s="7" t="s">
        <v>653</v>
      </c>
      <c r="J1293" s="5">
        <v>22000</v>
      </c>
    </row>
    <row r="1294" spans="9:20" x14ac:dyDescent="0.25">
      <c r="I1294" s="7" t="s">
        <v>229</v>
      </c>
      <c r="J1294" s="5">
        <v>150000</v>
      </c>
    </row>
    <row r="1295" spans="9:20" x14ac:dyDescent="0.25">
      <c r="I1295" s="7" t="s">
        <v>654</v>
      </c>
      <c r="J1295" s="5">
        <v>300000</v>
      </c>
    </row>
    <row r="1297" spans="1:12" x14ac:dyDescent="0.25">
      <c r="I1297" s="7" t="s">
        <v>20</v>
      </c>
      <c r="J1297" s="5">
        <f>SUM(J1280:J1296)</f>
        <v>2410600</v>
      </c>
    </row>
    <row r="1299" spans="1:12" x14ac:dyDescent="0.25">
      <c r="A1299" s="1" t="s">
        <v>0</v>
      </c>
      <c r="B1299" s="1" t="s">
        <v>1</v>
      </c>
      <c r="C1299" s="1" t="s">
        <v>2</v>
      </c>
      <c r="D1299" s="1" t="s">
        <v>3</v>
      </c>
      <c r="E1299" s="1" t="s">
        <v>4</v>
      </c>
      <c r="F1299" s="2" t="s">
        <v>5</v>
      </c>
      <c r="G1299" s="3" t="s">
        <v>6</v>
      </c>
      <c r="H1299" s="3" t="s">
        <v>7</v>
      </c>
      <c r="I1299" s="6" t="s">
        <v>8</v>
      </c>
      <c r="J1299" s="2" t="s">
        <v>9</v>
      </c>
      <c r="K1299" s="3" t="s">
        <v>10</v>
      </c>
      <c r="L1299" s="2" t="s">
        <v>9</v>
      </c>
    </row>
    <row r="1300" spans="1:12" x14ac:dyDescent="0.25">
      <c r="A1300" s="4">
        <v>45835</v>
      </c>
      <c r="B1300" t="s">
        <v>635</v>
      </c>
      <c r="I1300" s="7" t="s">
        <v>16</v>
      </c>
      <c r="J1300" s="5">
        <v>250000</v>
      </c>
    </row>
    <row r="1301" spans="1:12" x14ac:dyDescent="0.25">
      <c r="I1301" s="7" t="s">
        <v>17</v>
      </c>
      <c r="J1301" s="5">
        <v>48000</v>
      </c>
    </row>
    <row r="1302" spans="1:12" x14ac:dyDescent="0.25">
      <c r="I1302" s="7" t="s">
        <v>18</v>
      </c>
      <c r="J1302" s="5">
        <v>18000</v>
      </c>
    </row>
    <row r="1303" spans="1:12" x14ac:dyDescent="0.25">
      <c r="I1303" s="7" t="s">
        <v>77</v>
      </c>
      <c r="J1303" s="5">
        <v>22000</v>
      </c>
    </row>
    <row r="1305" spans="1:12" x14ac:dyDescent="0.25">
      <c r="I1305" s="7" t="s">
        <v>20</v>
      </c>
      <c r="J1305" s="5">
        <f>SUM(J1300:J1304)</f>
        <v>338000</v>
      </c>
    </row>
    <row r="1307" spans="1:12" x14ac:dyDescent="0.25">
      <c r="A1307" s="1" t="s">
        <v>0</v>
      </c>
      <c r="B1307" s="1" t="s">
        <v>1</v>
      </c>
      <c r="C1307" s="1" t="s">
        <v>2</v>
      </c>
      <c r="D1307" s="1" t="s">
        <v>3</v>
      </c>
      <c r="E1307" s="1" t="s">
        <v>4</v>
      </c>
      <c r="F1307" s="2" t="s">
        <v>5</v>
      </c>
      <c r="G1307" s="3" t="s">
        <v>6</v>
      </c>
      <c r="H1307" s="3" t="s">
        <v>7</v>
      </c>
      <c r="I1307" s="6" t="s">
        <v>8</v>
      </c>
      <c r="J1307" s="2" t="s">
        <v>9</v>
      </c>
      <c r="K1307" s="3" t="s">
        <v>10</v>
      </c>
      <c r="L1307" s="2" t="s">
        <v>9</v>
      </c>
    </row>
    <row r="1308" spans="1:12" x14ac:dyDescent="0.25">
      <c r="A1308" t="s">
        <v>655</v>
      </c>
      <c r="B1308" t="s">
        <v>577</v>
      </c>
      <c r="C1308" t="s">
        <v>656</v>
      </c>
      <c r="D1308" t="s">
        <v>657</v>
      </c>
      <c r="G1308" t="s">
        <v>658</v>
      </c>
      <c r="I1308" s="7" t="s">
        <v>17</v>
      </c>
      <c r="J1308" s="5">
        <v>144000</v>
      </c>
    </row>
    <row r="1309" spans="1:12" x14ac:dyDescent="0.25">
      <c r="I1309" s="7" t="s">
        <v>100</v>
      </c>
      <c r="J1309" s="5">
        <v>80000</v>
      </c>
    </row>
    <row r="1310" spans="1:12" x14ac:dyDescent="0.25">
      <c r="I1310" s="7" t="s">
        <v>26</v>
      </c>
      <c r="J1310" s="5">
        <v>80000</v>
      </c>
    </row>
    <row r="1312" spans="1:12" x14ac:dyDescent="0.25">
      <c r="I1312" s="7" t="s">
        <v>20</v>
      </c>
      <c r="J1312" s="5">
        <f>SUM(J1308:J1311)</f>
        <v>304000</v>
      </c>
    </row>
    <row r="1314" spans="1:12" x14ac:dyDescent="0.25">
      <c r="A1314" s="1" t="s">
        <v>0</v>
      </c>
      <c r="B1314" s="1" t="s">
        <v>1</v>
      </c>
      <c r="C1314" s="1" t="s">
        <v>2</v>
      </c>
      <c r="D1314" s="1" t="s">
        <v>3</v>
      </c>
      <c r="E1314" s="1" t="s">
        <v>4</v>
      </c>
      <c r="F1314" s="2" t="s">
        <v>5</v>
      </c>
      <c r="G1314" s="3" t="s">
        <v>6</v>
      </c>
      <c r="H1314" s="3" t="s">
        <v>7</v>
      </c>
      <c r="I1314" s="6" t="s">
        <v>8</v>
      </c>
      <c r="J1314" s="2" t="s">
        <v>9</v>
      </c>
      <c r="K1314" s="3" t="s">
        <v>10</v>
      </c>
      <c r="L1314" s="2" t="s">
        <v>9</v>
      </c>
    </row>
    <row r="1315" spans="1:12" x14ac:dyDescent="0.25">
      <c r="A1315" s="4">
        <v>45835</v>
      </c>
      <c r="B1315" t="s">
        <v>659</v>
      </c>
      <c r="D1315" t="s">
        <v>84</v>
      </c>
      <c r="G1315" t="s">
        <v>360</v>
      </c>
      <c r="I1315" s="7" t="s">
        <v>240</v>
      </c>
      <c r="J1315" s="5">
        <v>180000</v>
      </c>
    </row>
    <row r="1316" spans="1:12" x14ac:dyDescent="0.25">
      <c r="I1316" s="7" t="s">
        <v>169</v>
      </c>
      <c r="J1316" s="5">
        <v>80000</v>
      </c>
    </row>
    <row r="1318" spans="1:12" x14ac:dyDescent="0.25">
      <c r="I1318" s="7" t="s">
        <v>20</v>
      </c>
      <c r="J1318" s="5">
        <f>SUM(J1315:J1317)</f>
        <v>260000</v>
      </c>
    </row>
    <row r="1320" spans="1:12" x14ac:dyDescent="0.25">
      <c r="A1320" s="1" t="s">
        <v>0</v>
      </c>
      <c r="B1320" s="1" t="s">
        <v>1</v>
      </c>
      <c r="C1320" s="1" t="s">
        <v>2</v>
      </c>
      <c r="D1320" s="1" t="s">
        <v>3</v>
      </c>
      <c r="E1320" s="1" t="s">
        <v>4</v>
      </c>
      <c r="F1320" s="2" t="s">
        <v>5</v>
      </c>
      <c r="G1320" s="3" t="s">
        <v>6</v>
      </c>
      <c r="H1320" s="3" t="s">
        <v>7</v>
      </c>
      <c r="I1320" s="6" t="s">
        <v>8</v>
      </c>
      <c r="J1320" s="2" t="s">
        <v>9</v>
      </c>
      <c r="K1320" s="3" t="s">
        <v>10</v>
      </c>
      <c r="L1320" s="2" t="s">
        <v>9</v>
      </c>
    </row>
    <row r="1321" spans="1:12" x14ac:dyDescent="0.25">
      <c r="A1321" s="4">
        <v>45835</v>
      </c>
      <c r="B1321" t="s">
        <v>21</v>
      </c>
      <c r="C1321" t="s">
        <v>177</v>
      </c>
      <c r="D1321" t="s">
        <v>29</v>
      </c>
      <c r="F1321" s="5">
        <v>49492</v>
      </c>
      <c r="G1321" t="s">
        <v>178</v>
      </c>
      <c r="I1321" s="7" t="s">
        <v>159</v>
      </c>
      <c r="J1321" s="5">
        <v>180000</v>
      </c>
    </row>
    <row r="1322" spans="1:12" x14ac:dyDescent="0.25">
      <c r="I1322" s="7" t="s">
        <v>131</v>
      </c>
      <c r="J1322" s="5">
        <v>60000</v>
      </c>
    </row>
    <row r="1323" spans="1:12" x14ac:dyDescent="0.25">
      <c r="I1323" s="7" t="s">
        <v>81</v>
      </c>
      <c r="J1323" s="5">
        <v>15000</v>
      </c>
    </row>
    <row r="1324" spans="1:12" x14ac:dyDescent="0.25">
      <c r="I1324" s="7" t="s">
        <v>77</v>
      </c>
      <c r="J1324" s="5">
        <v>22000</v>
      </c>
    </row>
    <row r="1325" spans="1:12" x14ac:dyDescent="0.25">
      <c r="I1325" s="7" t="s">
        <v>660</v>
      </c>
      <c r="J1325" s="5">
        <v>20000</v>
      </c>
    </row>
    <row r="1326" spans="1:12" x14ac:dyDescent="0.25">
      <c r="I1326" s="7" t="s">
        <v>26</v>
      </c>
      <c r="J1326" s="5">
        <v>80000</v>
      </c>
    </row>
    <row r="1328" spans="1:12" x14ac:dyDescent="0.25">
      <c r="I1328" s="7" t="s">
        <v>20</v>
      </c>
      <c r="J1328" s="5">
        <f>SUM(J1321:J1327)</f>
        <v>377000</v>
      </c>
    </row>
    <row r="1330" spans="1:12" x14ac:dyDescent="0.25">
      <c r="A1330" s="1" t="s">
        <v>0</v>
      </c>
      <c r="B1330" s="1" t="s">
        <v>1</v>
      </c>
      <c r="C1330" s="1" t="s">
        <v>2</v>
      </c>
      <c r="D1330" s="1" t="s">
        <v>3</v>
      </c>
      <c r="E1330" s="1" t="s">
        <v>4</v>
      </c>
      <c r="F1330" s="2" t="s">
        <v>5</v>
      </c>
      <c r="G1330" s="3" t="s">
        <v>6</v>
      </c>
      <c r="H1330" s="3" t="s">
        <v>7</v>
      </c>
      <c r="I1330" s="6" t="s">
        <v>8</v>
      </c>
      <c r="J1330" s="2" t="s">
        <v>9</v>
      </c>
      <c r="K1330" s="3" t="s">
        <v>10</v>
      </c>
      <c r="L1330" s="2" t="s">
        <v>9</v>
      </c>
    </row>
    <row r="1331" spans="1:12" x14ac:dyDescent="0.25">
      <c r="A1331" s="4">
        <v>45835</v>
      </c>
      <c r="B1331" t="s">
        <v>607</v>
      </c>
      <c r="C1331" t="s">
        <v>103</v>
      </c>
      <c r="D1331" t="s">
        <v>13</v>
      </c>
      <c r="F1331" s="5">
        <v>104603</v>
      </c>
      <c r="G1331" t="s">
        <v>104</v>
      </c>
      <c r="I1331" s="7" t="s">
        <v>77</v>
      </c>
      <c r="J1331" s="5">
        <v>22000</v>
      </c>
    </row>
    <row r="1332" spans="1:12" x14ac:dyDescent="0.25">
      <c r="I1332" s="7" t="s">
        <v>608</v>
      </c>
      <c r="J1332" s="5">
        <v>40000</v>
      </c>
    </row>
    <row r="1333" spans="1:12" x14ac:dyDescent="0.25">
      <c r="I1333" s="7" t="s">
        <v>100</v>
      </c>
      <c r="J1333" s="5">
        <v>80000</v>
      </c>
    </row>
    <row r="1334" spans="1:12" x14ac:dyDescent="0.25">
      <c r="I1334" s="7" t="s">
        <v>294</v>
      </c>
      <c r="J1334" s="5">
        <v>120000</v>
      </c>
    </row>
    <row r="1335" spans="1:12" x14ac:dyDescent="0.25">
      <c r="I1335" s="7" t="s">
        <v>169</v>
      </c>
      <c r="J1335" s="5">
        <v>35000</v>
      </c>
    </row>
    <row r="1336" spans="1:12" x14ac:dyDescent="0.25">
      <c r="I1336" s="7" t="s">
        <v>609</v>
      </c>
      <c r="J1336" s="5">
        <v>65000</v>
      </c>
    </row>
    <row r="1337" spans="1:12" x14ac:dyDescent="0.25">
      <c r="I1337" s="7" t="s">
        <v>149</v>
      </c>
    </row>
    <row r="1339" spans="1:12" x14ac:dyDescent="0.25">
      <c r="I1339" s="7" t="s">
        <v>20</v>
      </c>
      <c r="J1339" s="5">
        <f>SUM(J1331:J1338)</f>
        <v>362000</v>
      </c>
    </row>
    <row r="1341" spans="1:12" x14ac:dyDescent="0.25">
      <c r="A1341" s="1" t="s">
        <v>0</v>
      </c>
      <c r="B1341" s="1" t="s">
        <v>1</v>
      </c>
      <c r="C1341" s="1" t="s">
        <v>2</v>
      </c>
      <c r="D1341" s="1" t="s">
        <v>3</v>
      </c>
      <c r="E1341" s="1" t="s">
        <v>4</v>
      </c>
      <c r="F1341" s="2" t="s">
        <v>5</v>
      </c>
      <c r="G1341" s="3" t="s">
        <v>6</v>
      </c>
      <c r="H1341" s="3" t="s">
        <v>7</v>
      </c>
      <c r="I1341" s="6" t="s">
        <v>8</v>
      </c>
      <c r="J1341" s="2" t="s">
        <v>9</v>
      </c>
      <c r="K1341" s="3" t="s">
        <v>10</v>
      </c>
      <c r="L1341" s="2" t="s">
        <v>9</v>
      </c>
    </row>
    <row r="1342" spans="1:12" x14ac:dyDescent="0.25">
      <c r="A1342" s="4">
        <v>45835</v>
      </c>
      <c r="B1342" t="s">
        <v>110</v>
      </c>
      <c r="C1342" t="s">
        <v>618</v>
      </c>
      <c r="D1342" t="s">
        <v>23</v>
      </c>
      <c r="E1342">
        <v>2023</v>
      </c>
      <c r="F1342" s="5">
        <v>19200</v>
      </c>
      <c r="G1342" t="s">
        <v>619</v>
      </c>
      <c r="H1342">
        <v>3192233567</v>
      </c>
      <c r="I1342" s="7" t="s">
        <v>16</v>
      </c>
      <c r="J1342" s="5">
        <v>250000</v>
      </c>
    </row>
    <row r="1343" spans="1:12" x14ac:dyDescent="0.25">
      <c r="I1343" s="7" t="s">
        <v>620</v>
      </c>
    </row>
    <row r="1344" spans="1:12" x14ac:dyDescent="0.25">
      <c r="I1344" s="7" t="s">
        <v>77</v>
      </c>
      <c r="J1344" s="5">
        <v>22000</v>
      </c>
    </row>
    <row r="1346" spans="1:12" x14ac:dyDescent="0.25">
      <c r="I1346" s="7" t="s">
        <v>20</v>
      </c>
      <c r="J1346" s="5">
        <f>SUM(J1342:J1345)</f>
        <v>272000</v>
      </c>
    </row>
    <row r="1348" spans="1:12" x14ac:dyDescent="0.25">
      <c r="A1348" s="1" t="s">
        <v>0</v>
      </c>
      <c r="B1348" s="1" t="s">
        <v>1</v>
      </c>
      <c r="C1348" s="1" t="s">
        <v>2</v>
      </c>
      <c r="D1348" s="1" t="s">
        <v>3</v>
      </c>
      <c r="E1348" s="1" t="s">
        <v>4</v>
      </c>
      <c r="F1348" s="2" t="s">
        <v>5</v>
      </c>
      <c r="G1348" s="3" t="s">
        <v>6</v>
      </c>
      <c r="H1348" s="3" t="s">
        <v>7</v>
      </c>
      <c r="I1348" s="6" t="s">
        <v>8</v>
      </c>
      <c r="J1348" s="2" t="s">
        <v>9</v>
      </c>
      <c r="K1348" s="3" t="s">
        <v>10</v>
      </c>
      <c r="L1348" s="2" t="s">
        <v>9</v>
      </c>
    </row>
    <row r="1349" spans="1:12" x14ac:dyDescent="0.25">
      <c r="A1349" s="4">
        <v>45835</v>
      </c>
      <c r="B1349" t="s">
        <v>21</v>
      </c>
      <c r="C1349" t="s">
        <v>623</v>
      </c>
      <c r="D1349" t="s">
        <v>29</v>
      </c>
      <c r="F1349" s="5">
        <v>83896</v>
      </c>
      <c r="G1349" t="s">
        <v>624</v>
      </c>
      <c r="I1349" s="7" t="s">
        <v>17</v>
      </c>
      <c r="J1349" s="5">
        <v>40000</v>
      </c>
    </row>
    <row r="1350" spans="1:12" x14ac:dyDescent="0.25">
      <c r="I1350" s="7" t="s">
        <v>625</v>
      </c>
      <c r="J1350" s="5">
        <v>160000</v>
      </c>
    </row>
    <row r="1351" spans="1:12" x14ac:dyDescent="0.25">
      <c r="I1351" s="7" t="s">
        <v>626</v>
      </c>
      <c r="J1351" s="5">
        <v>46000</v>
      </c>
    </row>
    <row r="1352" spans="1:12" x14ac:dyDescent="0.25">
      <c r="I1352" s="7" t="s">
        <v>627</v>
      </c>
      <c r="J1352" s="5">
        <v>25000</v>
      </c>
    </row>
    <row r="1354" spans="1:12" x14ac:dyDescent="0.25">
      <c r="I1354" s="7" t="s">
        <v>20</v>
      </c>
      <c r="J1354" s="5">
        <f>SUM(J1349:J1353)</f>
        <v>271000</v>
      </c>
    </row>
    <row r="1356" spans="1:12" x14ac:dyDescent="0.25">
      <c r="A1356" s="1" t="s">
        <v>0</v>
      </c>
      <c r="B1356" s="1" t="s">
        <v>1</v>
      </c>
      <c r="C1356" s="1" t="s">
        <v>2</v>
      </c>
      <c r="D1356" s="1" t="s">
        <v>3</v>
      </c>
      <c r="E1356" s="1" t="s">
        <v>4</v>
      </c>
      <c r="F1356" s="2" t="s">
        <v>5</v>
      </c>
      <c r="G1356" s="3" t="s">
        <v>6</v>
      </c>
      <c r="H1356" s="3" t="s">
        <v>7</v>
      </c>
      <c r="I1356" s="6" t="s">
        <v>8</v>
      </c>
      <c r="J1356" s="2" t="s">
        <v>9</v>
      </c>
      <c r="K1356" s="3" t="s">
        <v>10</v>
      </c>
      <c r="L1356" s="2" t="s">
        <v>9</v>
      </c>
    </row>
    <row r="1357" spans="1:12" x14ac:dyDescent="0.25">
      <c r="A1357" s="4">
        <v>45836</v>
      </c>
      <c r="B1357" t="s">
        <v>21</v>
      </c>
      <c r="C1357" t="s">
        <v>628</v>
      </c>
      <c r="D1357" t="s">
        <v>23</v>
      </c>
      <c r="F1357" s="5">
        <v>60892</v>
      </c>
      <c r="G1357" t="s">
        <v>629</v>
      </c>
      <c r="I1357" s="7" t="s">
        <v>239</v>
      </c>
      <c r="J1357" s="5">
        <v>1500000</v>
      </c>
    </row>
    <row r="1358" spans="1:12" x14ac:dyDescent="0.25">
      <c r="I1358" s="7" t="s">
        <v>298</v>
      </c>
      <c r="J1358" s="5">
        <v>434000</v>
      </c>
    </row>
    <row r="1359" spans="1:12" x14ac:dyDescent="0.25">
      <c r="I1359" s="7" t="s">
        <v>48</v>
      </c>
      <c r="J1359" s="5">
        <v>120000</v>
      </c>
    </row>
    <row r="1360" spans="1:12" x14ac:dyDescent="0.25">
      <c r="I1360" s="7" t="s">
        <v>108</v>
      </c>
      <c r="J1360" s="5">
        <v>150000</v>
      </c>
    </row>
    <row r="1361" spans="1:12" x14ac:dyDescent="0.25">
      <c r="I1361" s="7" t="s">
        <v>17</v>
      </c>
      <c r="J1361" s="5">
        <v>208000</v>
      </c>
    </row>
    <row r="1362" spans="1:12" x14ac:dyDescent="0.25">
      <c r="I1362" s="7" t="s">
        <v>18</v>
      </c>
      <c r="J1362" s="5">
        <v>48000</v>
      </c>
    </row>
    <row r="1363" spans="1:12" x14ac:dyDescent="0.25">
      <c r="I1363" s="7" t="s">
        <v>100</v>
      </c>
      <c r="J1363" s="5">
        <v>120000</v>
      </c>
    </row>
    <row r="1364" spans="1:12" x14ac:dyDescent="0.25">
      <c r="I1364" s="7" t="s">
        <v>77</v>
      </c>
    </row>
    <row r="1366" spans="1:12" x14ac:dyDescent="0.25">
      <c r="I1366" s="7" t="s">
        <v>20</v>
      </c>
      <c r="J1366" s="5">
        <f>SUM(J1357:J1365)</f>
        <v>2580000</v>
      </c>
    </row>
    <row r="1368" spans="1:12" x14ac:dyDescent="0.25">
      <c r="A1368" s="1" t="s">
        <v>0</v>
      </c>
      <c r="B1368" s="1" t="s">
        <v>1</v>
      </c>
      <c r="C1368" s="1" t="s">
        <v>2</v>
      </c>
      <c r="D1368" s="1" t="s">
        <v>3</v>
      </c>
      <c r="E1368" s="1" t="s">
        <v>4</v>
      </c>
      <c r="F1368" s="2" t="s">
        <v>5</v>
      </c>
      <c r="G1368" s="3" t="s">
        <v>6</v>
      </c>
      <c r="H1368" s="3" t="s">
        <v>7</v>
      </c>
      <c r="I1368" s="6" t="s">
        <v>8</v>
      </c>
      <c r="J1368" s="2" t="s">
        <v>9</v>
      </c>
      <c r="K1368" s="3" t="s">
        <v>10</v>
      </c>
      <c r="L1368" s="2" t="s">
        <v>9</v>
      </c>
    </row>
    <row r="1369" spans="1:12" x14ac:dyDescent="0.25">
      <c r="A1369" s="4">
        <v>45836</v>
      </c>
      <c r="B1369" t="s">
        <v>21</v>
      </c>
      <c r="C1369" t="s">
        <v>634</v>
      </c>
      <c r="D1369" t="s">
        <v>23</v>
      </c>
      <c r="F1369" s="5">
        <v>90144</v>
      </c>
      <c r="I1369" s="7" t="s">
        <v>16</v>
      </c>
      <c r="J1369" s="5">
        <v>390000</v>
      </c>
    </row>
    <row r="1370" spans="1:12" x14ac:dyDescent="0.25">
      <c r="I1370" s="7" t="s">
        <v>17</v>
      </c>
      <c r="J1370" s="5">
        <v>192000</v>
      </c>
    </row>
    <row r="1371" spans="1:12" x14ac:dyDescent="0.25">
      <c r="I1371" s="7" t="s">
        <v>18</v>
      </c>
      <c r="J1371" s="5">
        <v>46000</v>
      </c>
    </row>
    <row r="1373" spans="1:12" x14ac:dyDescent="0.25">
      <c r="I1373" s="7" t="s">
        <v>20</v>
      </c>
      <c r="J1373" s="5">
        <f>SUM(J1369:J1372)</f>
        <v>628000</v>
      </c>
    </row>
    <row r="1375" spans="1:12" x14ac:dyDescent="0.25">
      <c r="A1375" s="1" t="s">
        <v>0</v>
      </c>
      <c r="B1375" s="1" t="s">
        <v>1</v>
      </c>
      <c r="C1375" s="1" t="s">
        <v>2</v>
      </c>
      <c r="D1375" s="1" t="s">
        <v>3</v>
      </c>
      <c r="E1375" s="1" t="s">
        <v>4</v>
      </c>
      <c r="F1375" s="2" t="s">
        <v>5</v>
      </c>
      <c r="G1375" s="3" t="s">
        <v>6</v>
      </c>
      <c r="H1375" s="3" t="s">
        <v>7</v>
      </c>
      <c r="I1375" s="6" t="s">
        <v>8</v>
      </c>
      <c r="J1375" s="2" t="s">
        <v>9</v>
      </c>
      <c r="K1375" s="3" t="s">
        <v>10</v>
      </c>
      <c r="L1375" s="2" t="s">
        <v>9</v>
      </c>
    </row>
    <row r="1376" spans="1:12" x14ac:dyDescent="0.25">
      <c r="A1376" s="4">
        <v>45836</v>
      </c>
      <c r="B1376" t="s">
        <v>82</v>
      </c>
      <c r="C1376" t="s">
        <v>661</v>
      </c>
      <c r="D1376" t="s">
        <v>84</v>
      </c>
      <c r="I1376" s="7" t="s">
        <v>662</v>
      </c>
      <c r="J1376" s="5">
        <v>40000</v>
      </c>
    </row>
    <row r="1377" spans="1:12" x14ac:dyDescent="0.25">
      <c r="I1377" s="7" t="s">
        <v>484</v>
      </c>
      <c r="J1377" s="5">
        <v>68961</v>
      </c>
    </row>
    <row r="1378" spans="1:12" x14ac:dyDescent="0.25">
      <c r="I1378" s="7" t="s">
        <v>479</v>
      </c>
      <c r="J1378" s="5">
        <v>40000</v>
      </c>
    </row>
    <row r="1380" spans="1:12" x14ac:dyDescent="0.25">
      <c r="I1380" s="7" t="s">
        <v>20</v>
      </c>
      <c r="J1380" s="5">
        <f>SUM(J1376:J1379)</f>
        <v>148961</v>
      </c>
    </row>
    <row r="1382" spans="1:12" x14ac:dyDescent="0.25">
      <c r="A1382" s="1" t="s">
        <v>0</v>
      </c>
      <c r="B1382" s="1" t="s">
        <v>1</v>
      </c>
      <c r="C1382" s="1" t="s">
        <v>2</v>
      </c>
      <c r="D1382" s="1" t="s">
        <v>3</v>
      </c>
      <c r="E1382" s="1" t="s">
        <v>4</v>
      </c>
      <c r="F1382" s="2" t="s">
        <v>5</v>
      </c>
      <c r="G1382" s="3" t="s">
        <v>6</v>
      </c>
      <c r="H1382" s="3" t="s">
        <v>7</v>
      </c>
      <c r="I1382" s="6" t="s">
        <v>8</v>
      </c>
      <c r="J1382" s="2" t="s">
        <v>9</v>
      </c>
      <c r="K1382" s="3" t="s">
        <v>10</v>
      </c>
      <c r="L1382" s="2" t="s">
        <v>9</v>
      </c>
    </row>
    <row r="1383" spans="1:12" x14ac:dyDescent="0.25">
      <c r="A1383" s="4">
        <v>45839</v>
      </c>
      <c r="B1383" t="s">
        <v>663</v>
      </c>
      <c r="C1383" t="s">
        <v>305</v>
      </c>
      <c r="F1383" s="5">
        <v>66543</v>
      </c>
      <c r="I1383" s="7" t="s">
        <v>17</v>
      </c>
      <c r="J1383" s="5">
        <v>58000</v>
      </c>
    </row>
    <row r="1384" spans="1:12" x14ac:dyDescent="0.25">
      <c r="I1384" s="7" t="s">
        <v>112</v>
      </c>
      <c r="J1384" s="5">
        <v>6000</v>
      </c>
    </row>
    <row r="1386" spans="1:12" x14ac:dyDescent="0.25">
      <c r="I1386" s="7" t="s">
        <v>664</v>
      </c>
      <c r="J1386" s="5">
        <f>SUM(J1383:J1385)</f>
        <v>64000</v>
      </c>
    </row>
    <row r="1388" spans="1:12" x14ac:dyDescent="0.25">
      <c r="A1388" s="1" t="s">
        <v>0</v>
      </c>
      <c r="B1388" s="1" t="s">
        <v>1</v>
      </c>
      <c r="C1388" s="1" t="s">
        <v>2</v>
      </c>
      <c r="D1388" s="1" t="s">
        <v>3</v>
      </c>
      <c r="E1388" s="1" t="s">
        <v>4</v>
      </c>
      <c r="F1388" s="2" t="s">
        <v>5</v>
      </c>
      <c r="G1388" s="3" t="s">
        <v>6</v>
      </c>
      <c r="H1388" s="3" t="s">
        <v>7</v>
      </c>
      <c r="I1388" s="6" t="s">
        <v>8</v>
      </c>
      <c r="J1388" s="2" t="s">
        <v>9</v>
      </c>
      <c r="K1388" s="3" t="s">
        <v>10</v>
      </c>
      <c r="L1388" s="2" t="s">
        <v>9</v>
      </c>
    </row>
    <row r="1389" spans="1:12" x14ac:dyDescent="0.25">
      <c r="A1389" s="4">
        <v>45839</v>
      </c>
      <c r="B1389" t="s">
        <v>40</v>
      </c>
      <c r="C1389" t="s">
        <v>41</v>
      </c>
      <c r="D1389" t="s">
        <v>670</v>
      </c>
      <c r="E1389">
        <v>2008</v>
      </c>
      <c r="F1389" s="5">
        <v>74498</v>
      </c>
      <c r="G1389" t="s">
        <v>671</v>
      </c>
      <c r="H1389">
        <v>3202203968</v>
      </c>
      <c r="I1389" s="7" t="s">
        <v>672</v>
      </c>
      <c r="J1389" s="5">
        <v>120000</v>
      </c>
    </row>
    <row r="1390" spans="1:12" x14ac:dyDescent="0.25">
      <c r="I1390" s="7" t="s">
        <v>324</v>
      </c>
      <c r="J1390" s="5">
        <v>240000</v>
      </c>
    </row>
    <row r="1391" spans="1:12" x14ac:dyDescent="0.25">
      <c r="I1391" s="7" t="s">
        <v>673</v>
      </c>
      <c r="J1391" s="5">
        <v>120000</v>
      </c>
    </row>
    <row r="1392" spans="1:12" x14ac:dyDescent="0.25">
      <c r="I1392" s="7" t="s">
        <v>363</v>
      </c>
      <c r="J1392" s="5">
        <v>40000</v>
      </c>
    </row>
    <row r="1394" spans="1:12" x14ac:dyDescent="0.25">
      <c r="I1394" s="7" t="s">
        <v>20</v>
      </c>
      <c r="J1394" s="5">
        <f>SUM(J1389:J1393)</f>
        <v>520000</v>
      </c>
    </row>
    <row r="1396" spans="1:12" x14ac:dyDescent="0.25">
      <c r="A1396" s="1" t="s">
        <v>0</v>
      </c>
      <c r="B1396" s="1" t="s">
        <v>1</v>
      </c>
      <c r="C1396" s="1" t="s">
        <v>2</v>
      </c>
      <c r="D1396" s="1" t="s">
        <v>3</v>
      </c>
      <c r="E1396" s="1" t="s">
        <v>4</v>
      </c>
      <c r="F1396" s="2" t="s">
        <v>5</v>
      </c>
      <c r="G1396" s="3" t="s">
        <v>6</v>
      </c>
      <c r="H1396" s="3" t="s">
        <v>7</v>
      </c>
      <c r="I1396" s="6" t="s">
        <v>8</v>
      </c>
      <c r="J1396" s="2" t="s">
        <v>9</v>
      </c>
      <c r="K1396" s="3" t="s">
        <v>10</v>
      </c>
      <c r="L1396" s="2" t="s">
        <v>9</v>
      </c>
    </row>
    <row r="1397" spans="1:12" x14ac:dyDescent="0.25">
      <c r="A1397" s="4">
        <v>45839</v>
      </c>
      <c r="B1397" t="s">
        <v>499</v>
      </c>
      <c r="C1397" t="s">
        <v>674</v>
      </c>
      <c r="D1397" t="s">
        <v>322</v>
      </c>
      <c r="F1397" s="5">
        <v>30269</v>
      </c>
      <c r="I1397" s="7" t="s">
        <v>123</v>
      </c>
    </row>
    <row r="1398" spans="1:12" x14ac:dyDescent="0.25">
      <c r="C1398" t="s">
        <v>675</v>
      </c>
    </row>
    <row r="1399" spans="1:12" x14ac:dyDescent="0.25">
      <c r="I1399" s="7" t="s">
        <v>20</v>
      </c>
      <c r="J1399" s="5">
        <v>50000</v>
      </c>
    </row>
    <row r="1401" spans="1:12" x14ac:dyDescent="0.25">
      <c r="A1401" s="1" t="s">
        <v>0</v>
      </c>
      <c r="B1401" s="1" t="s">
        <v>1</v>
      </c>
      <c r="C1401" s="1" t="s">
        <v>2</v>
      </c>
      <c r="D1401" s="1" t="s">
        <v>3</v>
      </c>
      <c r="E1401" s="1" t="s">
        <v>4</v>
      </c>
      <c r="F1401" s="2" t="s">
        <v>5</v>
      </c>
      <c r="G1401" s="3" t="s">
        <v>6</v>
      </c>
      <c r="H1401" s="3" t="s">
        <v>7</v>
      </c>
      <c r="I1401" s="6" t="s">
        <v>8</v>
      </c>
      <c r="J1401" s="2" t="s">
        <v>9</v>
      </c>
      <c r="K1401" s="3" t="s">
        <v>10</v>
      </c>
      <c r="L1401" s="2" t="s">
        <v>9</v>
      </c>
    </row>
    <row r="1402" spans="1:12" x14ac:dyDescent="0.25">
      <c r="A1402" s="4">
        <v>45840</v>
      </c>
      <c r="B1402" t="s">
        <v>21</v>
      </c>
      <c r="C1402" t="s">
        <v>590</v>
      </c>
      <c r="D1402" t="s">
        <v>153</v>
      </c>
      <c r="E1402">
        <v>2015</v>
      </c>
      <c r="F1402" s="5">
        <v>70015</v>
      </c>
      <c r="G1402" t="s">
        <v>591</v>
      </c>
      <c r="I1402" s="7" t="s">
        <v>16</v>
      </c>
      <c r="J1402" s="5">
        <v>390000</v>
      </c>
    </row>
    <row r="1403" spans="1:12" x14ac:dyDescent="0.25">
      <c r="I1403" s="7" t="s">
        <v>48</v>
      </c>
      <c r="J1403" s="5">
        <v>120000</v>
      </c>
    </row>
    <row r="1404" spans="1:12" x14ac:dyDescent="0.25">
      <c r="I1404" s="7" t="s">
        <v>17</v>
      </c>
      <c r="J1404" s="5">
        <v>192000</v>
      </c>
    </row>
    <row r="1405" spans="1:12" x14ac:dyDescent="0.25">
      <c r="I1405" s="7" t="s">
        <v>18</v>
      </c>
      <c r="J1405" s="5">
        <v>46000</v>
      </c>
    </row>
    <row r="1406" spans="1:12" x14ac:dyDescent="0.25">
      <c r="I1406" s="7" t="s">
        <v>592</v>
      </c>
      <c r="J1406" s="5">
        <v>150000</v>
      </c>
    </row>
    <row r="1407" spans="1:12" x14ac:dyDescent="0.25">
      <c r="I1407" s="7" t="s">
        <v>133</v>
      </c>
      <c r="J1407" s="5">
        <v>150000</v>
      </c>
    </row>
    <row r="1408" spans="1:12" x14ac:dyDescent="0.25">
      <c r="I1408" s="7" t="s">
        <v>25</v>
      </c>
      <c r="J1408" s="5">
        <v>260000</v>
      </c>
    </row>
    <row r="1409" spans="1:12" x14ac:dyDescent="0.25">
      <c r="I1409" s="7" t="s">
        <v>26</v>
      </c>
      <c r="J1409" s="5">
        <v>80000</v>
      </c>
    </row>
    <row r="1410" spans="1:12" x14ac:dyDescent="0.25">
      <c r="I1410" s="7" t="s">
        <v>77</v>
      </c>
      <c r="J1410" s="5">
        <v>22000</v>
      </c>
    </row>
    <row r="1411" spans="1:12" x14ac:dyDescent="0.25">
      <c r="I1411" s="7" t="s">
        <v>298</v>
      </c>
      <c r="J1411" s="5">
        <v>434000</v>
      </c>
    </row>
    <row r="1412" spans="1:12" x14ac:dyDescent="0.25">
      <c r="I1412" s="7" t="s">
        <v>88</v>
      </c>
      <c r="J1412" s="5">
        <v>305000</v>
      </c>
    </row>
    <row r="1414" spans="1:12" x14ac:dyDescent="0.25">
      <c r="I1414" s="7" t="s">
        <v>20</v>
      </c>
      <c r="J1414" s="5">
        <f>SUM(J1402:J1413)</f>
        <v>2149000</v>
      </c>
    </row>
    <row r="1416" spans="1:12" x14ac:dyDescent="0.25">
      <c r="A1416" s="1" t="s">
        <v>0</v>
      </c>
      <c r="B1416" s="1" t="s">
        <v>1</v>
      </c>
      <c r="C1416" s="1" t="s">
        <v>2</v>
      </c>
      <c r="D1416" s="1" t="s">
        <v>3</v>
      </c>
      <c r="E1416" s="1" t="s">
        <v>4</v>
      </c>
      <c r="F1416" s="2" t="s">
        <v>5</v>
      </c>
      <c r="G1416" s="3" t="s">
        <v>6</v>
      </c>
      <c r="H1416" s="3" t="s">
        <v>7</v>
      </c>
      <c r="I1416" s="6" t="s">
        <v>8</v>
      </c>
      <c r="J1416" s="2" t="s">
        <v>9</v>
      </c>
      <c r="K1416" s="3" t="s">
        <v>10</v>
      </c>
      <c r="L1416" s="2" t="s">
        <v>9</v>
      </c>
    </row>
    <row r="1417" spans="1:12" x14ac:dyDescent="0.25">
      <c r="A1417" s="4">
        <v>45840</v>
      </c>
      <c r="B1417" t="s">
        <v>21</v>
      </c>
      <c r="C1417" t="s">
        <v>1212</v>
      </c>
      <c r="E1417">
        <v>2015</v>
      </c>
      <c r="F1417" s="5">
        <v>82312</v>
      </c>
      <c r="G1417" t="s">
        <v>1213</v>
      </c>
      <c r="I1417" s="7" t="s">
        <v>1214</v>
      </c>
    </row>
    <row r="1418" spans="1:12" x14ac:dyDescent="0.25">
      <c r="I1418" s="7" t="s">
        <v>1215</v>
      </c>
    </row>
    <row r="1419" spans="1:12" x14ac:dyDescent="0.25">
      <c r="I1419" s="7" t="s">
        <v>1216</v>
      </c>
    </row>
    <row r="1421" spans="1:12" x14ac:dyDescent="0.25">
      <c r="I1421" s="7" t="s">
        <v>20</v>
      </c>
    </row>
    <row r="1423" spans="1:12" x14ac:dyDescent="0.25">
      <c r="A1423" s="1" t="s">
        <v>0</v>
      </c>
      <c r="B1423" s="1" t="s">
        <v>1</v>
      </c>
      <c r="C1423" s="1" t="s">
        <v>2</v>
      </c>
      <c r="D1423" s="1" t="s">
        <v>3</v>
      </c>
      <c r="E1423" s="1" t="s">
        <v>4</v>
      </c>
      <c r="F1423" s="2" t="s">
        <v>5</v>
      </c>
      <c r="G1423" s="3" t="s">
        <v>6</v>
      </c>
      <c r="H1423" s="3" t="s">
        <v>7</v>
      </c>
      <c r="I1423" s="6" t="s">
        <v>8</v>
      </c>
      <c r="J1423" s="2" t="s">
        <v>9</v>
      </c>
      <c r="K1423" s="3" t="s">
        <v>10</v>
      </c>
      <c r="L1423" s="2" t="s">
        <v>9</v>
      </c>
    </row>
    <row r="1424" spans="1:12" x14ac:dyDescent="0.25">
      <c r="A1424" s="4">
        <v>45841</v>
      </c>
      <c r="B1424" t="s">
        <v>599</v>
      </c>
      <c r="C1424" t="s">
        <v>600</v>
      </c>
      <c r="D1424" t="s">
        <v>29</v>
      </c>
      <c r="F1424" s="5">
        <v>57718</v>
      </c>
      <c r="G1424" t="s">
        <v>601</v>
      </c>
      <c r="H1424">
        <v>3508220738</v>
      </c>
      <c r="I1424" s="7" t="s">
        <v>602</v>
      </c>
      <c r="J1424" s="5">
        <v>70000</v>
      </c>
    </row>
    <row r="1425" spans="1:12" x14ac:dyDescent="0.25">
      <c r="I1425" s="7" t="s">
        <v>603</v>
      </c>
      <c r="J1425" s="5">
        <v>60000</v>
      </c>
    </row>
    <row r="1426" spans="1:12" x14ac:dyDescent="0.25">
      <c r="I1426" s="7" t="s">
        <v>604</v>
      </c>
      <c r="J1426" s="5">
        <v>60000</v>
      </c>
    </row>
    <row r="1427" spans="1:12" x14ac:dyDescent="0.25">
      <c r="I1427" s="7" t="s">
        <v>605</v>
      </c>
      <c r="J1427" s="5">
        <v>40000</v>
      </c>
    </row>
    <row r="1428" spans="1:12" x14ac:dyDescent="0.25">
      <c r="I1428" s="7" t="s">
        <v>606</v>
      </c>
      <c r="J1428" s="5">
        <v>180000</v>
      </c>
    </row>
    <row r="1429" spans="1:12" x14ac:dyDescent="0.25">
      <c r="I1429" s="7" t="s">
        <v>17</v>
      </c>
      <c r="J1429" s="5">
        <v>143000</v>
      </c>
    </row>
    <row r="1430" spans="1:12" x14ac:dyDescent="0.25">
      <c r="I1430" s="7" t="s">
        <v>18</v>
      </c>
      <c r="J1430" s="5">
        <v>46000</v>
      </c>
    </row>
    <row r="1431" spans="1:12" x14ac:dyDescent="0.25">
      <c r="I1431" s="7" t="s">
        <v>76</v>
      </c>
      <c r="J1431" s="5">
        <v>6000</v>
      </c>
    </row>
    <row r="1432" spans="1:12" x14ac:dyDescent="0.25">
      <c r="I1432" s="7" t="s">
        <v>100</v>
      </c>
      <c r="J1432" s="5">
        <v>80000</v>
      </c>
    </row>
    <row r="1434" spans="1:12" x14ac:dyDescent="0.25">
      <c r="I1434" s="7" t="s">
        <v>20</v>
      </c>
      <c r="J1434" s="5">
        <f>SUM(J1424:J1433)</f>
        <v>685000</v>
      </c>
    </row>
    <row r="1436" spans="1:12" x14ac:dyDescent="0.25">
      <c r="A1436" s="1" t="s">
        <v>0</v>
      </c>
      <c r="B1436" s="1" t="s">
        <v>1</v>
      </c>
      <c r="C1436" s="1" t="s">
        <v>2</v>
      </c>
      <c r="D1436" s="1" t="s">
        <v>3</v>
      </c>
      <c r="E1436" s="1" t="s">
        <v>4</v>
      </c>
      <c r="F1436" s="2" t="s">
        <v>5</v>
      </c>
      <c r="G1436" s="3" t="s">
        <v>6</v>
      </c>
      <c r="H1436" s="3" t="s">
        <v>7</v>
      </c>
      <c r="I1436" s="6" t="s">
        <v>8</v>
      </c>
      <c r="J1436" s="2" t="s">
        <v>9</v>
      </c>
      <c r="K1436" s="3" t="s">
        <v>10</v>
      </c>
      <c r="L1436" s="2" t="s">
        <v>9</v>
      </c>
    </row>
    <row r="1437" spans="1:12" x14ac:dyDescent="0.25">
      <c r="A1437" s="4">
        <v>45841</v>
      </c>
      <c r="B1437" t="s">
        <v>630</v>
      </c>
      <c r="C1437" t="s">
        <v>631</v>
      </c>
      <c r="D1437" t="s">
        <v>13</v>
      </c>
      <c r="E1437">
        <v>2015</v>
      </c>
      <c r="F1437" s="5">
        <v>50317</v>
      </c>
      <c r="G1437" t="s">
        <v>632</v>
      </c>
      <c r="H1437">
        <v>3168338819</v>
      </c>
      <c r="I1437" s="7" t="s">
        <v>633</v>
      </c>
      <c r="J1437" s="5">
        <v>390000</v>
      </c>
    </row>
    <row r="1438" spans="1:12" x14ac:dyDescent="0.25">
      <c r="I1438" s="7" t="s">
        <v>150</v>
      </c>
      <c r="J1438" s="5">
        <v>150000</v>
      </c>
    </row>
    <row r="1439" spans="1:12" x14ac:dyDescent="0.25">
      <c r="I1439" s="7" t="s">
        <v>77</v>
      </c>
      <c r="J1439" s="5">
        <v>22000</v>
      </c>
    </row>
    <row r="1441" spans="1:12" x14ac:dyDescent="0.25">
      <c r="I1441" s="7" t="s">
        <v>20</v>
      </c>
      <c r="J1441" s="5">
        <f>SUM(J1437:J1440)</f>
        <v>562000</v>
      </c>
    </row>
    <row r="1443" spans="1:12" x14ac:dyDescent="0.25">
      <c r="A1443" s="1" t="s">
        <v>0</v>
      </c>
      <c r="B1443" s="1" t="s">
        <v>1</v>
      </c>
      <c r="C1443" s="1" t="s">
        <v>2</v>
      </c>
      <c r="D1443" s="1" t="s">
        <v>3</v>
      </c>
      <c r="E1443" s="1" t="s">
        <v>4</v>
      </c>
      <c r="F1443" s="2" t="s">
        <v>5</v>
      </c>
      <c r="G1443" s="3" t="s">
        <v>6</v>
      </c>
      <c r="H1443" s="3" t="s">
        <v>7</v>
      </c>
      <c r="I1443" s="6" t="s">
        <v>8</v>
      </c>
      <c r="J1443" s="2" t="s">
        <v>9</v>
      </c>
      <c r="K1443" s="3" t="s">
        <v>10</v>
      </c>
      <c r="L1443" s="2" t="s">
        <v>9</v>
      </c>
    </row>
    <row r="1444" spans="1:12" x14ac:dyDescent="0.25">
      <c r="A1444" s="4">
        <v>45841</v>
      </c>
      <c r="B1444" t="s">
        <v>21</v>
      </c>
      <c r="C1444" t="s">
        <v>676</v>
      </c>
      <c r="D1444" t="s">
        <v>29</v>
      </c>
      <c r="F1444" s="5">
        <v>33412</v>
      </c>
      <c r="G1444" t="s">
        <v>677</v>
      </c>
      <c r="I1444" s="7" t="s">
        <v>16</v>
      </c>
      <c r="J1444" s="5">
        <v>390000</v>
      </c>
    </row>
    <row r="1445" spans="1:12" x14ac:dyDescent="0.25">
      <c r="I1445" s="7" t="s">
        <v>17</v>
      </c>
      <c r="J1445" s="5">
        <v>192000</v>
      </c>
    </row>
    <row r="1446" spans="1:12" x14ac:dyDescent="0.25">
      <c r="I1446" s="7" t="s">
        <v>18</v>
      </c>
      <c r="J1446" s="5">
        <v>46000</v>
      </c>
    </row>
    <row r="1447" spans="1:12" x14ac:dyDescent="0.25">
      <c r="I1447" s="7" t="s">
        <v>88</v>
      </c>
      <c r="J1447" s="5">
        <v>305000</v>
      </c>
    </row>
    <row r="1448" spans="1:12" x14ac:dyDescent="0.25">
      <c r="I1448" s="7" t="s">
        <v>77</v>
      </c>
      <c r="J1448" s="5">
        <v>22000</v>
      </c>
    </row>
    <row r="1449" spans="1:12" x14ac:dyDescent="0.25">
      <c r="I1449" s="7" t="s">
        <v>172</v>
      </c>
      <c r="J1449" s="5">
        <v>228000</v>
      </c>
    </row>
    <row r="1451" spans="1:12" x14ac:dyDescent="0.25">
      <c r="I1451" s="7" t="s">
        <v>20</v>
      </c>
      <c r="J1451" s="5">
        <f>SUM(J1444:J1450)</f>
        <v>1183000</v>
      </c>
    </row>
    <row r="1453" spans="1:12" x14ac:dyDescent="0.25">
      <c r="A1453" s="1" t="s">
        <v>0</v>
      </c>
      <c r="B1453" s="1" t="s">
        <v>1</v>
      </c>
      <c r="C1453" s="1" t="s">
        <v>2</v>
      </c>
      <c r="D1453" s="1" t="s">
        <v>3</v>
      </c>
      <c r="E1453" s="1" t="s">
        <v>4</v>
      </c>
      <c r="F1453" s="2" t="s">
        <v>5</v>
      </c>
      <c r="G1453" s="3" t="s">
        <v>6</v>
      </c>
      <c r="H1453" s="3" t="s">
        <v>7</v>
      </c>
      <c r="I1453" s="6" t="s">
        <v>8</v>
      </c>
      <c r="J1453" s="2" t="s">
        <v>9</v>
      </c>
      <c r="K1453" s="3" t="s">
        <v>10</v>
      </c>
      <c r="L1453" s="2" t="s">
        <v>9</v>
      </c>
    </row>
    <row r="1454" spans="1:12" x14ac:dyDescent="0.25">
      <c r="A1454" s="4">
        <v>45841</v>
      </c>
      <c r="B1454" t="s">
        <v>678</v>
      </c>
      <c r="C1454" t="s">
        <v>679</v>
      </c>
      <c r="D1454" t="s">
        <v>53</v>
      </c>
      <c r="G1454" t="s">
        <v>680</v>
      </c>
      <c r="I1454" s="7" t="s">
        <v>112</v>
      </c>
      <c r="J1454" s="5">
        <v>6000</v>
      </c>
    </row>
    <row r="1455" spans="1:12" x14ac:dyDescent="0.25">
      <c r="A1455" s="4"/>
      <c r="I1455" s="7" t="s">
        <v>681</v>
      </c>
      <c r="J1455" s="5">
        <v>160000</v>
      </c>
    </row>
    <row r="1456" spans="1:12" x14ac:dyDescent="0.25">
      <c r="A1456" s="4"/>
      <c r="I1456" s="7" t="s">
        <v>100</v>
      </c>
      <c r="J1456" s="5">
        <v>60000</v>
      </c>
    </row>
    <row r="1457" spans="1:12" x14ac:dyDescent="0.25">
      <c r="A1457" s="4"/>
      <c r="I1457" s="7" t="s">
        <v>70</v>
      </c>
      <c r="J1457" s="5">
        <v>58000</v>
      </c>
    </row>
    <row r="1458" spans="1:12" x14ac:dyDescent="0.25">
      <c r="A1458" s="4"/>
      <c r="I1458" s="7" t="s">
        <v>682</v>
      </c>
      <c r="J1458" s="5">
        <v>120000</v>
      </c>
    </row>
    <row r="1459" spans="1:12" x14ac:dyDescent="0.25">
      <c r="A1459" s="4"/>
      <c r="I1459" s="7" t="s">
        <v>683</v>
      </c>
      <c r="J1459" s="5">
        <v>80000</v>
      </c>
    </row>
    <row r="1460" spans="1:12" x14ac:dyDescent="0.25">
      <c r="A1460" s="4"/>
      <c r="I1460" s="7" t="s">
        <v>221</v>
      </c>
      <c r="J1460" s="5">
        <v>50000</v>
      </c>
    </row>
    <row r="1461" spans="1:12" x14ac:dyDescent="0.25">
      <c r="A1461" s="4"/>
      <c r="I1461" s="7" t="s">
        <v>215</v>
      </c>
      <c r="J1461" s="5">
        <v>10000</v>
      </c>
    </row>
    <row r="1462" spans="1:12" x14ac:dyDescent="0.25">
      <c r="A1462" s="4"/>
    </row>
    <row r="1463" spans="1:12" x14ac:dyDescent="0.25">
      <c r="A1463" s="4"/>
      <c r="I1463" s="7" t="s">
        <v>20</v>
      </c>
      <c r="J1463" s="5">
        <f>SUM(J1454:J1462)</f>
        <v>544000</v>
      </c>
    </row>
    <row r="1464" spans="1:12" x14ac:dyDescent="0.25">
      <c r="A1464" s="4"/>
    </row>
    <row r="1465" spans="1:12" x14ac:dyDescent="0.25">
      <c r="A1465" s="1" t="s">
        <v>0</v>
      </c>
      <c r="B1465" s="1" t="s">
        <v>1</v>
      </c>
      <c r="C1465" s="1" t="s">
        <v>2</v>
      </c>
      <c r="D1465" s="1" t="s">
        <v>3</v>
      </c>
      <c r="E1465" s="1" t="s">
        <v>4</v>
      </c>
      <c r="F1465" s="2" t="s">
        <v>5</v>
      </c>
      <c r="G1465" s="3" t="s">
        <v>6</v>
      </c>
      <c r="H1465" s="3" t="s">
        <v>7</v>
      </c>
      <c r="I1465" s="6" t="s">
        <v>8</v>
      </c>
      <c r="J1465" s="2" t="s">
        <v>9</v>
      </c>
      <c r="K1465" s="3" t="s">
        <v>10</v>
      </c>
      <c r="L1465" s="2" t="s">
        <v>9</v>
      </c>
    </row>
    <row r="1466" spans="1:12" x14ac:dyDescent="0.25">
      <c r="A1466" s="4">
        <v>45841</v>
      </c>
      <c r="B1466" t="s">
        <v>684</v>
      </c>
      <c r="C1466" t="s">
        <v>685</v>
      </c>
      <c r="D1466" t="s">
        <v>84</v>
      </c>
      <c r="F1466" s="5">
        <v>8781</v>
      </c>
      <c r="G1466" t="s">
        <v>686</v>
      </c>
      <c r="H1466">
        <v>3006416255</v>
      </c>
      <c r="I1466" s="7" t="s">
        <v>17</v>
      </c>
      <c r="J1466" s="5">
        <v>48000</v>
      </c>
    </row>
    <row r="1467" spans="1:12" x14ac:dyDescent="0.25">
      <c r="A1467" s="4"/>
      <c r="I1467" s="7" t="s">
        <v>687</v>
      </c>
      <c r="J1467" s="5">
        <v>330000</v>
      </c>
    </row>
    <row r="1468" spans="1:12" x14ac:dyDescent="0.25">
      <c r="A1468" s="4"/>
      <c r="I1468" s="7" t="s">
        <v>77</v>
      </c>
      <c r="J1468" s="5">
        <v>22000</v>
      </c>
    </row>
    <row r="1469" spans="1:12" x14ac:dyDescent="0.25">
      <c r="A1469" s="4"/>
    </row>
    <row r="1470" spans="1:12" x14ac:dyDescent="0.25">
      <c r="A1470" s="4"/>
      <c r="I1470" s="7" t="s">
        <v>20</v>
      </c>
      <c r="J1470" s="5">
        <f>SUM(J1466:J1469)</f>
        <v>400000</v>
      </c>
    </row>
    <row r="1471" spans="1:12" x14ac:dyDescent="0.25">
      <c r="A1471" s="4"/>
    </row>
    <row r="1472" spans="1:12" x14ac:dyDescent="0.25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4</v>
      </c>
      <c r="F1472" s="2" t="s">
        <v>5</v>
      </c>
      <c r="G1472" s="3" t="s">
        <v>6</v>
      </c>
      <c r="H1472" s="3" t="s">
        <v>7</v>
      </c>
      <c r="I1472" s="6" t="s">
        <v>8</v>
      </c>
      <c r="J1472" s="2" t="s">
        <v>9</v>
      </c>
      <c r="K1472" s="3" t="s">
        <v>10</v>
      </c>
      <c r="L1472" s="2" t="s">
        <v>9</v>
      </c>
    </row>
    <row r="1473" spans="1:12" x14ac:dyDescent="0.25">
      <c r="A1473" s="4">
        <v>45841</v>
      </c>
      <c r="B1473" t="s">
        <v>688</v>
      </c>
      <c r="C1473" t="s">
        <v>689</v>
      </c>
      <c r="D1473" t="s">
        <v>29</v>
      </c>
      <c r="E1473">
        <v>2020</v>
      </c>
      <c r="F1473" s="5">
        <v>45000</v>
      </c>
      <c r="G1473" t="s">
        <v>690</v>
      </c>
      <c r="H1473">
        <v>3157592466</v>
      </c>
      <c r="I1473" s="7" t="s">
        <v>16</v>
      </c>
      <c r="J1473" s="5">
        <v>350000</v>
      </c>
    </row>
    <row r="1474" spans="1:12" x14ac:dyDescent="0.25">
      <c r="A1474" s="4"/>
      <c r="I1474" s="7" t="s">
        <v>25</v>
      </c>
      <c r="J1474" s="5">
        <v>80000</v>
      </c>
    </row>
    <row r="1475" spans="1:12" x14ac:dyDescent="0.25">
      <c r="A1475" s="4"/>
      <c r="I1475" s="7" t="s">
        <v>285</v>
      </c>
      <c r="J1475" s="5">
        <v>90000</v>
      </c>
    </row>
    <row r="1476" spans="1:12" x14ac:dyDescent="0.25">
      <c r="A1476" s="4"/>
      <c r="I1476" s="7" t="s">
        <v>691</v>
      </c>
      <c r="J1476" s="5">
        <v>70000</v>
      </c>
    </row>
    <row r="1477" spans="1:12" x14ac:dyDescent="0.25">
      <c r="A1477" s="4"/>
      <c r="I1477" s="7" t="s">
        <v>692</v>
      </c>
      <c r="J1477" s="5">
        <v>40000</v>
      </c>
    </row>
    <row r="1478" spans="1:12" x14ac:dyDescent="0.25">
      <c r="A1478" s="4"/>
      <c r="I1478" s="7" t="s">
        <v>693</v>
      </c>
      <c r="J1478" s="5">
        <v>35000</v>
      </c>
    </row>
    <row r="1479" spans="1:12" x14ac:dyDescent="0.25">
      <c r="A1479" s="4"/>
    </row>
    <row r="1480" spans="1:12" x14ac:dyDescent="0.25">
      <c r="A1480" s="4"/>
      <c r="I1480" s="7" t="s">
        <v>20</v>
      </c>
      <c r="J1480" s="5">
        <f>SUM(J1473:J1479)</f>
        <v>665000</v>
      </c>
    </row>
    <row r="1481" spans="1:12" x14ac:dyDescent="0.25">
      <c r="A1481" s="4"/>
    </row>
    <row r="1482" spans="1:12" x14ac:dyDescent="0.25">
      <c r="A1482" s="1" t="s">
        <v>0</v>
      </c>
      <c r="B1482" s="1" t="s">
        <v>1</v>
      </c>
      <c r="C1482" s="1" t="s">
        <v>2</v>
      </c>
      <c r="D1482" s="1" t="s">
        <v>3</v>
      </c>
      <c r="E1482" s="1" t="s">
        <v>4</v>
      </c>
      <c r="F1482" s="2" t="s">
        <v>5</v>
      </c>
      <c r="G1482" s="3" t="s">
        <v>6</v>
      </c>
      <c r="H1482" s="3" t="s">
        <v>7</v>
      </c>
      <c r="I1482" s="6" t="s">
        <v>8</v>
      </c>
      <c r="J1482" s="2" t="s">
        <v>9</v>
      </c>
      <c r="K1482" s="3" t="s">
        <v>10</v>
      </c>
      <c r="L1482" s="2" t="s">
        <v>9</v>
      </c>
    </row>
    <row r="1483" spans="1:12" x14ac:dyDescent="0.25">
      <c r="A1483" s="4">
        <v>45841</v>
      </c>
      <c r="B1483" t="s">
        <v>21</v>
      </c>
      <c r="C1483" t="s">
        <v>694</v>
      </c>
      <c r="D1483" t="s">
        <v>53</v>
      </c>
      <c r="F1483" s="5">
        <v>104607</v>
      </c>
      <c r="G1483" t="s">
        <v>695</v>
      </c>
      <c r="I1483" s="7" t="s">
        <v>16</v>
      </c>
      <c r="J1483" s="5">
        <v>390000</v>
      </c>
    </row>
    <row r="1484" spans="1:12" x14ac:dyDescent="0.25">
      <c r="A1484" s="4"/>
      <c r="I1484" s="7" t="s">
        <v>696</v>
      </c>
      <c r="J1484" s="5">
        <v>670000</v>
      </c>
    </row>
    <row r="1485" spans="1:12" x14ac:dyDescent="0.25">
      <c r="A1485" s="4"/>
      <c r="I1485" s="7" t="s">
        <v>77</v>
      </c>
      <c r="J1485" s="5">
        <v>22000</v>
      </c>
    </row>
    <row r="1486" spans="1:12" x14ac:dyDescent="0.25">
      <c r="A1486" s="4"/>
      <c r="I1486" s="7" t="s">
        <v>168</v>
      </c>
      <c r="J1486" s="5">
        <v>115000</v>
      </c>
    </row>
    <row r="1487" spans="1:12" x14ac:dyDescent="0.25">
      <c r="A1487" s="4"/>
      <c r="I1487" s="7" t="s">
        <v>150</v>
      </c>
      <c r="J1487" s="5">
        <v>150000</v>
      </c>
    </row>
    <row r="1488" spans="1:12" x14ac:dyDescent="0.25">
      <c r="A1488" s="4"/>
      <c r="I1488" s="7" t="s">
        <v>697</v>
      </c>
      <c r="J1488" s="5">
        <v>80000</v>
      </c>
    </row>
    <row r="1489" spans="1:12" x14ac:dyDescent="0.25">
      <c r="A1489" s="4"/>
      <c r="I1489" s="7" t="s">
        <v>108</v>
      </c>
      <c r="J1489" s="5">
        <v>150000</v>
      </c>
    </row>
    <row r="1490" spans="1:12" x14ac:dyDescent="0.25">
      <c r="A1490" s="4"/>
      <c r="I1490" s="7" t="s">
        <v>25</v>
      </c>
      <c r="J1490" s="5">
        <v>160000</v>
      </c>
    </row>
    <row r="1492" spans="1:12" x14ac:dyDescent="0.25">
      <c r="I1492" s="7" t="s">
        <v>20</v>
      </c>
      <c r="J1492" s="5">
        <f>SUM(J1483:J1491)</f>
        <v>1737000</v>
      </c>
    </row>
    <row r="1494" spans="1:12" x14ac:dyDescent="0.25">
      <c r="A1494" s="1" t="s">
        <v>0</v>
      </c>
      <c r="B1494" s="1" t="s">
        <v>1</v>
      </c>
      <c r="C1494" s="1" t="s">
        <v>2</v>
      </c>
      <c r="D1494" s="1" t="s">
        <v>3</v>
      </c>
      <c r="E1494" s="1" t="s">
        <v>4</v>
      </c>
      <c r="F1494" s="2" t="s">
        <v>5</v>
      </c>
      <c r="G1494" s="3" t="s">
        <v>6</v>
      </c>
      <c r="H1494" s="3" t="s">
        <v>7</v>
      </c>
      <c r="I1494" s="6" t="s">
        <v>8</v>
      </c>
      <c r="J1494" s="2" t="s">
        <v>9</v>
      </c>
      <c r="K1494" s="3" t="s">
        <v>10</v>
      </c>
      <c r="L1494" s="2" t="s">
        <v>9</v>
      </c>
    </row>
    <row r="1495" spans="1:12" x14ac:dyDescent="0.25">
      <c r="A1495" s="4">
        <v>45841</v>
      </c>
      <c r="B1495" t="s">
        <v>21</v>
      </c>
      <c r="C1495" t="s">
        <v>698</v>
      </c>
      <c r="D1495" t="s">
        <v>153</v>
      </c>
      <c r="F1495" s="5">
        <v>83752</v>
      </c>
      <c r="G1495" t="s">
        <v>699</v>
      </c>
      <c r="I1495" s="7" t="s">
        <v>167</v>
      </c>
      <c r="J1495" s="5">
        <v>40000</v>
      </c>
    </row>
    <row r="1496" spans="1:12" x14ac:dyDescent="0.25">
      <c r="I1496" s="7" t="s">
        <v>77</v>
      </c>
      <c r="J1496" s="5">
        <v>22000</v>
      </c>
    </row>
    <row r="1497" spans="1:12" x14ac:dyDescent="0.25">
      <c r="I1497" s="7" t="s">
        <v>172</v>
      </c>
      <c r="J1497" s="5">
        <v>228000</v>
      </c>
    </row>
    <row r="1498" spans="1:12" x14ac:dyDescent="0.25">
      <c r="I1498" s="7" t="s">
        <v>700</v>
      </c>
      <c r="J1498" s="5">
        <v>80000</v>
      </c>
    </row>
    <row r="1500" spans="1:12" x14ac:dyDescent="0.25">
      <c r="I1500" s="7" t="s">
        <v>20</v>
      </c>
      <c r="J1500" s="5">
        <f>SUM(J1495:J1499)</f>
        <v>370000</v>
      </c>
    </row>
    <row r="1502" spans="1:12" x14ac:dyDescent="0.25">
      <c r="A1502" s="1" t="s">
        <v>0</v>
      </c>
      <c r="B1502" s="1" t="s">
        <v>1</v>
      </c>
      <c r="C1502" s="1" t="s">
        <v>2</v>
      </c>
      <c r="D1502" s="1" t="s">
        <v>3</v>
      </c>
      <c r="E1502" s="1" t="s">
        <v>4</v>
      </c>
      <c r="F1502" s="2" t="s">
        <v>5</v>
      </c>
      <c r="G1502" s="3" t="s">
        <v>6</v>
      </c>
      <c r="H1502" s="3" t="s">
        <v>7</v>
      </c>
      <c r="I1502" s="6" t="s">
        <v>8</v>
      </c>
      <c r="J1502" s="2" t="s">
        <v>9</v>
      </c>
      <c r="K1502" s="3" t="s">
        <v>10</v>
      </c>
      <c r="L1502" s="2" t="s">
        <v>9</v>
      </c>
    </row>
    <row r="1503" spans="1:12" x14ac:dyDescent="0.25">
      <c r="A1503" s="4">
        <v>45841</v>
      </c>
      <c r="B1503" t="s">
        <v>504</v>
      </c>
      <c r="C1503" t="s">
        <v>707</v>
      </c>
      <c r="E1503">
        <v>2015</v>
      </c>
      <c r="F1503" s="5">
        <v>37822</v>
      </c>
      <c r="G1503" t="s">
        <v>708</v>
      </c>
      <c r="H1503">
        <v>3213408277</v>
      </c>
      <c r="I1503" s="7" t="s">
        <v>16</v>
      </c>
      <c r="J1503" s="5">
        <v>270000</v>
      </c>
    </row>
    <row r="1504" spans="1:12" x14ac:dyDescent="0.25">
      <c r="I1504" s="7" t="s">
        <v>17</v>
      </c>
      <c r="J1504" s="5">
        <v>58000</v>
      </c>
    </row>
    <row r="1505" spans="1:12" x14ac:dyDescent="0.25">
      <c r="I1505" s="7" t="s">
        <v>18</v>
      </c>
      <c r="J1505" s="5">
        <v>18000</v>
      </c>
    </row>
    <row r="1507" spans="1:12" x14ac:dyDescent="0.25">
      <c r="I1507" s="7" t="s">
        <v>709</v>
      </c>
      <c r="J1507" s="5">
        <f>SUM(J1503:J1506)</f>
        <v>346000</v>
      </c>
    </row>
    <row r="1509" spans="1:12" x14ac:dyDescent="0.25">
      <c r="A1509" s="1" t="s">
        <v>0</v>
      </c>
      <c r="B1509" s="1" t="s">
        <v>1</v>
      </c>
      <c r="C1509" s="1" t="s">
        <v>2</v>
      </c>
      <c r="D1509" s="1" t="s">
        <v>3</v>
      </c>
      <c r="E1509" s="1" t="s">
        <v>4</v>
      </c>
      <c r="F1509" s="2" t="s">
        <v>5</v>
      </c>
      <c r="G1509" s="3" t="s">
        <v>6</v>
      </c>
      <c r="H1509" s="3" t="s">
        <v>7</v>
      </c>
      <c r="I1509" s="6" t="s">
        <v>8</v>
      </c>
      <c r="J1509" s="2" t="s">
        <v>9</v>
      </c>
      <c r="K1509" s="3" t="s">
        <v>10</v>
      </c>
      <c r="L1509" s="2" t="s">
        <v>9</v>
      </c>
    </row>
    <row r="1510" spans="1:12" x14ac:dyDescent="0.25">
      <c r="A1510" s="4">
        <v>45842</v>
      </c>
      <c r="B1510" t="s">
        <v>89</v>
      </c>
      <c r="C1510" t="s">
        <v>710</v>
      </c>
      <c r="D1510" t="s">
        <v>29</v>
      </c>
      <c r="E1510">
        <v>2017</v>
      </c>
      <c r="F1510" s="5">
        <v>29384</v>
      </c>
      <c r="G1510" t="s">
        <v>711</v>
      </c>
      <c r="H1510">
        <v>3142064105</v>
      </c>
      <c r="I1510" s="7" t="s">
        <v>16</v>
      </c>
      <c r="J1510" s="5">
        <v>480000</v>
      </c>
    </row>
    <row r="1511" spans="1:12" x14ac:dyDescent="0.25">
      <c r="A1511" s="4"/>
      <c r="I1511" s="7" t="s">
        <v>17</v>
      </c>
      <c r="J1511" s="5">
        <v>260000</v>
      </c>
    </row>
    <row r="1512" spans="1:12" x14ac:dyDescent="0.25">
      <c r="A1512" s="4"/>
      <c r="I1512" s="7" t="s">
        <v>712</v>
      </c>
      <c r="J1512" s="5">
        <v>65000</v>
      </c>
    </row>
    <row r="1513" spans="1:12" x14ac:dyDescent="0.25">
      <c r="A1513" s="4"/>
      <c r="I1513" s="7" t="s">
        <v>713</v>
      </c>
      <c r="J1513" s="5">
        <v>490000</v>
      </c>
    </row>
    <row r="1514" spans="1:12" x14ac:dyDescent="0.25">
      <c r="I1514" s="7" t="s">
        <v>25</v>
      </c>
      <c r="J1514" s="5">
        <v>240000</v>
      </c>
    </row>
    <row r="1515" spans="1:12" x14ac:dyDescent="0.25">
      <c r="I1515" s="7" t="s">
        <v>26</v>
      </c>
      <c r="J1515" s="5">
        <v>80000</v>
      </c>
    </row>
    <row r="1517" spans="1:12" x14ac:dyDescent="0.25">
      <c r="I1517" s="7" t="s">
        <v>20</v>
      </c>
      <c r="J1517" s="5">
        <f>SUM(J1510:J1516)</f>
        <v>1615000</v>
      </c>
    </row>
    <row r="1519" spans="1:12" x14ac:dyDescent="0.25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4</v>
      </c>
      <c r="F1519" s="2" t="s">
        <v>5</v>
      </c>
      <c r="G1519" s="3" t="s">
        <v>6</v>
      </c>
      <c r="H1519" s="3" t="s">
        <v>7</v>
      </c>
      <c r="I1519" s="6" t="s">
        <v>8</v>
      </c>
      <c r="J1519" s="2" t="s">
        <v>9</v>
      </c>
      <c r="K1519" s="3" t="s">
        <v>10</v>
      </c>
      <c r="L1519" s="2" t="s">
        <v>9</v>
      </c>
    </row>
    <row r="1520" spans="1:12" x14ac:dyDescent="0.25">
      <c r="A1520" s="4">
        <v>45842</v>
      </c>
      <c r="B1520" t="s">
        <v>445</v>
      </c>
      <c r="C1520" t="s">
        <v>701</v>
      </c>
      <c r="D1520" t="s">
        <v>702</v>
      </c>
      <c r="F1520" s="5">
        <v>34828</v>
      </c>
      <c r="I1520" s="7" t="s">
        <v>703</v>
      </c>
    </row>
    <row r="1522" spans="1:12" x14ac:dyDescent="0.25">
      <c r="I1522" s="7" t="s">
        <v>20</v>
      </c>
      <c r="J1522" s="5">
        <v>100000</v>
      </c>
    </row>
    <row r="1524" spans="1:12" x14ac:dyDescent="0.25">
      <c r="A1524" s="1" t="s">
        <v>0</v>
      </c>
      <c r="B1524" s="1" t="s">
        <v>1</v>
      </c>
      <c r="C1524" s="1" t="s">
        <v>2</v>
      </c>
      <c r="D1524" s="1" t="s">
        <v>3</v>
      </c>
      <c r="E1524" s="1" t="s">
        <v>4</v>
      </c>
      <c r="F1524" s="2" t="s">
        <v>5</v>
      </c>
      <c r="G1524" s="3" t="s">
        <v>6</v>
      </c>
      <c r="H1524" s="3" t="s">
        <v>7</v>
      </c>
      <c r="I1524" s="6" t="s">
        <v>8</v>
      </c>
      <c r="J1524" s="2" t="s">
        <v>9</v>
      </c>
      <c r="K1524" s="3" t="s">
        <v>10</v>
      </c>
      <c r="L1524" s="2" t="s">
        <v>9</v>
      </c>
    </row>
    <row r="1525" spans="1:12" x14ac:dyDescent="0.25">
      <c r="A1525" s="4">
        <v>45842</v>
      </c>
      <c r="B1525" t="s">
        <v>704</v>
      </c>
      <c r="C1525" t="s">
        <v>705</v>
      </c>
      <c r="E1525">
        <v>2021</v>
      </c>
      <c r="F1525" s="5">
        <v>41182</v>
      </c>
      <c r="G1525" t="s">
        <v>706</v>
      </c>
      <c r="H1525">
        <v>3134362672</v>
      </c>
      <c r="I1525" s="7" t="s">
        <v>16</v>
      </c>
      <c r="J1525" s="5">
        <v>300000</v>
      </c>
    </row>
    <row r="1526" spans="1:12" x14ac:dyDescent="0.25">
      <c r="I1526" s="7" t="s">
        <v>77</v>
      </c>
      <c r="J1526" s="5">
        <v>22000</v>
      </c>
    </row>
    <row r="1528" spans="1:12" x14ac:dyDescent="0.25">
      <c r="I1528" s="7" t="s">
        <v>20</v>
      </c>
      <c r="J1528" s="5">
        <f>SUM(J1525:J1527)</f>
        <v>322000</v>
      </c>
    </row>
    <row r="1530" spans="1:12" x14ac:dyDescent="0.25">
      <c r="A1530" s="1" t="s">
        <v>0</v>
      </c>
      <c r="B1530" s="1" t="s">
        <v>1</v>
      </c>
      <c r="C1530" s="1" t="s">
        <v>2</v>
      </c>
      <c r="D1530" s="1" t="s">
        <v>3</v>
      </c>
      <c r="E1530" s="1" t="s">
        <v>4</v>
      </c>
      <c r="F1530" s="2" t="s">
        <v>5</v>
      </c>
      <c r="G1530" s="3" t="s">
        <v>6</v>
      </c>
      <c r="H1530" s="3" t="s">
        <v>7</v>
      </c>
      <c r="I1530" s="6" t="s">
        <v>8</v>
      </c>
      <c r="J1530" s="2" t="s">
        <v>9</v>
      </c>
      <c r="K1530" s="3" t="s">
        <v>10</v>
      </c>
      <c r="L1530" s="2" t="s">
        <v>9</v>
      </c>
    </row>
    <row r="1531" spans="1:12" x14ac:dyDescent="0.25">
      <c r="A1531" s="4">
        <v>45842</v>
      </c>
      <c r="B1531" t="s">
        <v>21</v>
      </c>
      <c r="C1531" t="s">
        <v>714</v>
      </c>
      <c r="D1531" t="s">
        <v>23</v>
      </c>
      <c r="F1531" s="5">
        <v>123791</v>
      </c>
      <c r="G1531" t="s">
        <v>715</v>
      </c>
      <c r="I1531" s="7" t="s">
        <v>448</v>
      </c>
      <c r="J1531" s="5">
        <v>380000</v>
      </c>
    </row>
    <row r="1532" spans="1:12" x14ac:dyDescent="0.25">
      <c r="I1532" s="7" t="s">
        <v>100</v>
      </c>
      <c r="J1532" s="5">
        <v>80000</v>
      </c>
    </row>
    <row r="1534" spans="1:12" x14ac:dyDescent="0.25">
      <c r="I1534" s="7" t="s">
        <v>20</v>
      </c>
      <c r="J1534" s="5">
        <f>SUM(J1531:J1533)</f>
        <v>460000</v>
      </c>
    </row>
    <row r="1536" spans="1:12" x14ac:dyDescent="0.25">
      <c r="A1536" s="1" t="s">
        <v>0</v>
      </c>
      <c r="B1536" s="1" t="s">
        <v>1</v>
      </c>
      <c r="C1536" s="1" t="s">
        <v>2</v>
      </c>
      <c r="D1536" s="1" t="s">
        <v>3</v>
      </c>
      <c r="E1536" s="1" t="s">
        <v>4</v>
      </c>
      <c r="F1536" s="2" t="s">
        <v>5</v>
      </c>
      <c r="G1536" s="3" t="s">
        <v>6</v>
      </c>
      <c r="H1536" s="3" t="s">
        <v>7</v>
      </c>
      <c r="I1536" s="6" t="s">
        <v>8</v>
      </c>
      <c r="J1536" s="2" t="s">
        <v>9</v>
      </c>
      <c r="K1536" s="3" t="s">
        <v>10</v>
      </c>
      <c r="L1536" s="2" t="s">
        <v>9</v>
      </c>
    </row>
    <row r="1537" spans="1:12" x14ac:dyDescent="0.25">
      <c r="A1537" s="4">
        <v>45842</v>
      </c>
      <c r="B1537" t="s">
        <v>21</v>
      </c>
      <c r="C1537" t="s">
        <v>287</v>
      </c>
      <c r="D1537" t="s">
        <v>23</v>
      </c>
      <c r="F1537" s="5">
        <v>59089</v>
      </c>
      <c r="I1537" s="7" t="s">
        <v>25</v>
      </c>
    </row>
    <row r="1539" spans="1:12" x14ac:dyDescent="0.25">
      <c r="I1539" s="7" t="s">
        <v>20</v>
      </c>
      <c r="J1539" s="5">
        <v>160000</v>
      </c>
    </row>
    <row r="1541" spans="1:12" x14ac:dyDescent="0.25">
      <c r="A1541" s="1" t="s">
        <v>0</v>
      </c>
      <c r="B1541" s="1" t="s">
        <v>1</v>
      </c>
      <c r="C1541" s="1" t="s">
        <v>2</v>
      </c>
      <c r="D1541" s="1" t="s">
        <v>3</v>
      </c>
      <c r="E1541" s="1" t="s">
        <v>4</v>
      </c>
      <c r="F1541" s="2" t="s">
        <v>5</v>
      </c>
      <c r="G1541" s="3" t="s">
        <v>6</v>
      </c>
      <c r="H1541" s="3" t="s">
        <v>7</v>
      </c>
      <c r="I1541" s="6" t="s">
        <v>8</v>
      </c>
      <c r="J1541" s="2" t="s">
        <v>9</v>
      </c>
      <c r="K1541" s="3" t="s">
        <v>10</v>
      </c>
      <c r="L1541" s="2" t="s">
        <v>9</v>
      </c>
    </row>
    <row r="1542" spans="1:12" x14ac:dyDescent="0.25">
      <c r="A1542" s="4">
        <v>45842</v>
      </c>
      <c r="B1542" t="s">
        <v>40</v>
      </c>
      <c r="C1542" t="s">
        <v>665</v>
      </c>
      <c r="D1542" t="s">
        <v>29</v>
      </c>
      <c r="E1542">
        <v>2013</v>
      </c>
      <c r="F1542" s="5">
        <v>158000</v>
      </c>
      <c r="G1542" t="s">
        <v>666</v>
      </c>
      <c r="H1542">
        <v>3204654728</v>
      </c>
      <c r="I1542" s="7" t="s">
        <v>667</v>
      </c>
    </row>
    <row r="1543" spans="1:12" x14ac:dyDescent="0.25">
      <c r="A1543" s="4"/>
      <c r="I1543" s="7" t="s">
        <v>668</v>
      </c>
    </row>
    <row r="1544" spans="1:12" x14ac:dyDescent="0.25">
      <c r="A1544" s="4"/>
      <c r="I1544" s="7" t="s">
        <v>669</v>
      </c>
      <c r="J1544" s="5">
        <v>350000</v>
      </c>
    </row>
    <row r="1545" spans="1:12" x14ac:dyDescent="0.25">
      <c r="A1545" s="4"/>
      <c r="I1545" s="7" t="s">
        <v>613</v>
      </c>
      <c r="J1545" s="5">
        <v>80000</v>
      </c>
    </row>
    <row r="1546" spans="1:12" x14ac:dyDescent="0.25">
      <c r="A1546" s="4"/>
    </row>
    <row r="1547" spans="1:12" x14ac:dyDescent="0.25">
      <c r="A1547" s="4"/>
      <c r="I1547" s="7" t="s">
        <v>20</v>
      </c>
      <c r="J1547" s="5">
        <f>SUM(J1542:J1546)</f>
        <v>430000</v>
      </c>
    </row>
    <row r="1548" spans="1:12" x14ac:dyDescent="0.25">
      <c r="A1548" s="4"/>
    </row>
    <row r="1549" spans="1:12" x14ac:dyDescent="0.25">
      <c r="A1549" s="1" t="s">
        <v>0</v>
      </c>
      <c r="B1549" s="1" t="s">
        <v>1</v>
      </c>
      <c r="C1549" s="1" t="s">
        <v>2</v>
      </c>
      <c r="D1549" s="1" t="s">
        <v>3</v>
      </c>
      <c r="E1549" s="1" t="s">
        <v>4</v>
      </c>
      <c r="F1549" s="2" t="s">
        <v>5</v>
      </c>
      <c r="G1549" s="3" t="s">
        <v>6</v>
      </c>
      <c r="H1549" s="3" t="s">
        <v>7</v>
      </c>
      <c r="I1549" s="6" t="s">
        <v>8</v>
      </c>
      <c r="J1549" s="2" t="s">
        <v>9</v>
      </c>
      <c r="K1549" s="3" t="s">
        <v>10</v>
      </c>
      <c r="L1549" s="2" t="s">
        <v>9</v>
      </c>
    </row>
    <row r="1550" spans="1:12" x14ac:dyDescent="0.25">
      <c r="A1550" s="4">
        <v>45843</v>
      </c>
      <c r="B1550" t="s">
        <v>21</v>
      </c>
      <c r="C1550" t="s">
        <v>716</v>
      </c>
      <c r="D1550" t="s">
        <v>29</v>
      </c>
      <c r="F1550" s="5">
        <v>126633</v>
      </c>
      <c r="G1550" t="s">
        <v>717</v>
      </c>
      <c r="I1550" s="7" t="s">
        <v>17</v>
      </c>
      <c r="J1550" s="5">
        <v>160000</v>
      </c>
    </row>
    <row r="1551" spans="1:12" x14ac:dyDescent="0.25">
      <c r="A1551" s="4"/>
      <c r="I1551" s="7" t="s">
        <v>48</v>
      </c>
      <c r="J1551" s="5">
        <v>120000</v>
      </c>
    </row>
    <row r="1552" spans="1:12" x14ac:dyDescent="0.25">
      <c r="A1552" s="4"/>
      <c r="I1552" s="7" t="s">
        <v>18</v>
      </c>
      <c r="J1552" s="5">
        <v>46000</v>
      </c>
    </row>
    <row r="1553" spans="1:12" x14ac:dyDescent="0.25">
      <c r="A1553" s="4"/>
      <c r="I1553" s="7" t="s">
        <v>718</v>
      </c>
      <c r="J1553" s="5">
        <v>40000</v>
      </c>
    </row>
    <row r="1554" spans="1:12" x14ac:dyDescent="0.25">
      <c r="A1554" s="4"/>
      <c r="I1554" s="7" t="s">
        <v>150</v>
      </c>
      <c r="J1554" s="5">
        <v>150000</v>
      </c>
    </row>
    <row r="1555" spans="1:12" x14ac:dyDescent="0.25">
      <c r="A1555" s="4"/>
      <c r="I1555" s="7" t="s">
        <v>100</v>
      </c>
      <c r="J1555" s="5">
        <v>80000</v>
      </c>
    </row>
    <row r="1556" spans="1:12" x14ac:dyDescent="0.25">
      <c r="A1556" s="4"/>
    </row>
    <row r="1557" spans="1:12" x14ac:dyDescent="0.25">
      <c r="A1557" s="4"/>
      <c r="I1557" s="7" t="s">
        <v>20</v>
      </c>
      <c r="J1557" s="5">
        <f>SUM(J1550:J1556)</f>
        <v>596000</v>
      </c>
    </row>
    <row r="1558" spans="1:12" x14ac:dyDescent="0.25">
      <c r="A1558" s="4"/>
    </row>
    <row r="1559" spans="1:12" x14ac:dyDescent="0.25">
      <c r="A1559" s="1" t="s">
        <v>0</v>
      </c>
      <c r="B1559" s="1" t="s">
        <v>1</v>
      </c>
      <c r="C1559" s="1" t="s">
        <v>2</v>
      </c>
      <c r="D1559" s="1" t="s">
        <v>3</v>
      </c>
      <c r="E1559" s="1" t="s">
        <v>4</v>
      </c>
      <c r="F1559" s="2" t="s">
        <v>5</v>
      </c>
      <c r="G1559" s="3" t="s">
        <v>6</v>
      </c>
      <c r="H1559" s="3" t="s">
        <v>7</v>
      </c>
      <c r="I1559" s="6" t="s">
        <v>8</v>
      </c>
      <c r="J1559" s="2" t="s">
        <v>9</v>
      </c>
      <c r="K1559" s="3" t="s">
        <v>10</v>
      </c>
      <c r="L1559" s="2" t="s">
        <v>9</v>
      </c>
    </row>
    <row r="1560" spans="1:12" x14ac:dyDescent="0.25">
      <c r="A1560" s="4">
        <v>45845</v>
      </c>
      <c r="B1560" t="s">
        <v>21</v>
      </c>
      <c r="C1560" t="s">
        <v>516</v>
      </c>
      <c r="D1560" t="s">
        <v>153</v>
      </c>
      <c r="F1560" s="5">
        <v>91738</v>
      </c>
      <c r="G1560" t="s">
        <v>517</v>
      </c>
      <c r="I1560" s="7" t="s">
        <v>17</v>
      </c>
      <c r="J1560" s="5">
        <v>200000</v>
      </c>
    </row>
    <row r="1561" spans="1:12" x14ac:dyDescent="0.25">
      <c r="A1561" s="4"/>
      <c r="I1561" s="7" t="s">
        <v>18</v>
      </c>
      <c r="J1561" s="5">
        <v>46000</v>
      </c>
    </row>
    <row r="1562" spans="1:12" x14ac:dyDescent="0.25">
      <c r="A1562" s="4"/>
      <c r="I1562" s="7" t="s">
        <v>467</v>
      </c>
      <c r="J1562" s="5">
        <v>30000</v>
      </c>
    </row>
    <row r="1563" spans="1:12" x14ac:dyDescent="0.25">
      <c r="A1563" s="4"/>
    </row>
    <row r="1564" spans="1:12" x14ac:dyDescent="0.25">
      <c r="A1564" s="4"/>
      <c r="I1564" s="7" t="s">
        <v>20</v>
      </c>
      <c r="J1564" s="5">
        <f>SUM(J1560:J1563)</f>
        <v>276000</v>
      </c>
    </row>
    <row r="1565" spans="1:12" x14ac:dyDescent="0.25">
      <c r="A1565" s="4"/>
    </row>
    <row r="1566" spans="1:12" x14ac:dyDescent="0.25">
      <c r="A1566" s="1" t="s">
        <v>0</v>
      </c>
      <c r="B1566" s="1" t="s">
        <v>1</v>
      </c>
      <c r="C1566" s="1" t="s">
        <v>2</v>
      </c>
      <c r="D1566" s="1" t="s">
        <v>3</v>
      </c>
      <c r="E1566" s="1" t="s">
        <v>4</v>
      </c>
      <c r="F1566" s="2" t="s">
        <v>5</v>
      </c>
      <c r="G1566" s="3" t="s">
        <v>6</v>
      </c>
      <c r="H1566" s="3" t="s">
        <v>7</v>
      </c>
      <c r="I1566" s="6" t="s">
        <v>8</v>
      </c>
      <c r="J1566" s="2" t="s">
        <v>9</v>
      </c>
      <c r="K1566" s="3" t="s">
        <v>10</v>
      </c>
      <c r="L1566" s="2" t="s">
        <v>9</v>
      </c>
    </row>
    <row r="1567" spans="1:12" x14ac:dyDescent="0.25">
      <c r="A1567" s="4">
        <v>45845</v>
      </c>
      <c r="B1567" t="s">
        <v>329</v>
      </c>
      <c r="C1567" t="s">
        <v>719</v>
      </c>
      <c r="D1567" t="s">
        <v>153</v>
      </c>
      <c r="I1567" s="7" t="s">
        <v>48</v>
      </c>
      <c r="J1567" s="5">
        <v>35000</v>
      </c>
    </row>
    <row r="1568" spans="1:12" x14ac:dyDescent="0.25">
      <c r="A1568" s="4"/>
      <c r="I1568" s="7" t="s">
        <v>17</v>
      </c>
      <c r="J1568" s="5">
        <v>17000</v>
      </c>
    </row>
    <row r="1569" spans="1:12" x14ac:dyDescent="0.25">
      <c r="A1569" s="4"/>
      <c r="I1569" s="7" t="s">
        <v>18</v>
      </c>
      <c r="J1569" s="5">
        <v>96000</v>
      </c>
    </row>
    <row r="1570" spans="1:12" x14ac:dyDescent="0.25">
      <c r="A1570" s="4"/>
      <c r="I1570" s="7" t="s">
        <v>100</v>
      </c>
      <c r="J1570" s="5">
        <v>50000</v>
      </c>
    </row>
    <row r="1571" spans="1:12" x14ac:dyDescent="0.25">
      <c r="A1571" s="4"/>
    </row>
    <row r="1572" spans="1:12" x14ac:dyDescent="0.25">
      <c r="A1572" s="4"/>
      <c r="I1572" s="7" t="s">
        <v>20</v>
      </c>
      <c r="J1572" s="5">
        <f>SUM(J1567:J1571)</f>
        <v>198000</v>
      </c>
    </row>
    <row r="1573" spans="1:12" x14ac:dyDescent="0.25">
      <c r="A1573" s="4"/>
    </row>
    <row r="1574" spans="1:12" x14ac:dyDescent="0.25">
      <c r="A1574" s="1" t="s">
        <v>0</v>
      </c>
      <c r="B1574" s="1" t="s">
        <v>1</v>
      </c>
      <c r="C1574" s="1" t="s">
        <v>2</v>
      </c>
      <c r="D1574" s="1" t="s">
        <v>3</v>
      </c>
      <c r="E1574" s="1" t="s">
        <v>4</v>
      </c>
      <c r="F1574" s="2" t="s">
        <v>5</v>
      </c>
      <c r="G1574" s="3" t="s">
        <v>6</v>
      </c>
      <c r="H1574" s="3" t="s">
        <v>7</v>
      </c>
      <c r="I1574" s="6" t="s">
        <v>8</v>
      </c>
      <c r="J1574" s="2" t="s">
        <v>9</v>
      </c>
      <c r="K1574" s="3" t="s">
        <v>10</v>
      </c>
      <c r="L1574" s="2" t="s">
        <v>9</v>
      </c>
    </row>
    <row r="1575" spans="1:12" x14ac:dyDescent="0.25">
      <c r="A1575" s="4">
        <v>45845</v>
      </c>
      <c r="B1575" t="s">
        <v>1236</v>
      </c>
      <c r="C1575" t="s">
        <v>352</v>
      </c>
      <c r="E1575">
        <v>2012</v>
      </c>
      <c r="F1575" s="5">
        <v>89523</v>
      </c>
      <c r="G1575" t="s">
        <v>1237</v>
      </c>
      <c r="H1575">
        <v>3017765138</v>
      </c>
      <c r="I1575" s="7" t="s">
        <v>150</v>
      </c>
    </row>
    <row r="1576" spans="1:12" x14ac:dyDescent="0.25">
      <c r="A1576" s="4"/>
      <c r="I1576" s="7" t="s">
        <v>920</v>
      </c>
    </row>
    <row r="1577" spans="1:12" x14ac:dyDescent="0.25">
      <c r="A1577" s="4"/>
      <c r="I1577" s="7" t="s">
        <v>1238</v>
      </c>
    </row>
    <row r="1578" spans="1:12" x14ac:dyDescent="0.25">
      <c r="A1578" s="4"/>
      <c r="I1578" s="7" t="s">
        <v>17</v>
      </c>
    </row>
    <row r="1579" spans="1:12" x14ac:dyDescent="0.25">
      <c r="A1579" s="4"/>
      <c r="I1579" s="7" t="s">
        <v>1239</v>
      </c>
    </row>
    <row r="1580" spans="1:12" x14ac:dyDescent="0.25">
      <c r="A1580" s="4"/>
    </row>
    <row r="1581" spans="1:12" x14ac:dyDescent="0.25">
      <c r="A1581" s="4"/>
      <c r="I1581" s="7" t="s">
        <v>20</v>
      </c>
    </row>
    <row r="1582" spans="1:12" x14ac:dyDescent="0.25">
      <c r="A1582" s="4"/>
    </row>
    <row r="1583" spans="1:12" x14ac:dyDescent="0.25">
      <c r="A1583" s="1" t="s">
        <v>0</v>
      </c>
      <c r="B1583" s="1" t="s">
        <v>1</v>
      </c>
      <c r="C1583" s="1" t="s">
        <v>2</v>
      </c>
      <c r="D1583" s="1" t="s">
        <v>3</v>
      </c>
      <c r="E1583" s="1" t="s">
        <v>4</v>
      </c>
      <c r="F1583" s="2" t="s">
        <v>5</v>
      </c>
      <c r="G1583" s="3" t="s">
        <v>6</v>
      </c>
      <c r="H1583" s="3" t="s">
        <v>7</v>
      </c>
      <c r="I1583" s="6" t="s">
        <v>8</v>
      </c>
      <c r="J1583" s="2" t="s">
        <v>9</v>
      </c>
      <c r="K1583" s="3" t="s">
        <v>10</v>
      </c>
      <c r="L1583" s="2" t="s">
        <v>9</v>
      </c>
    </row>
    <row r="1584" spans="1:12" x14ac:dyDescent="0.25">
      <c r="A1584" s="4">
        <v>45846</v>
      </c>
      <c r="B1584" t="s">
        <v>40</v>
      </c>
      <c r="C1584" t="s">
        <v>720</v>
      </c>
      <c r="D1584" t="s">
        <v>322</v>
      </c>
      <c r="F1584" s="5">
        <v>116262</v>
      </c>
      <c r="I1584" s="7" t="s">
        <v>17</v>
      </c>
      <c r="J1584" s="5">
        <v>200000</v>
      </c>
    </row>
    <row r="1585" spans="1:12" x14ac:dyDescent="0.25">
      <c r="A1585" s="4"/>
      <c r="I1585" s="7" t="s">
        <v>18</v>
      </c>
      <c r="J1585" s="5">
        <v>46000</v>
      </c>
    </row>
    <row r="1586" spans="1:12" x14ac:dyDescent="0.25">
      <c r="A1586" s="4"/>
      <c r="I1586" s="7" t="s">
        <v>76</v>
      </c>
      <c r="J1586" s="5">
        <v>6000</v>
      </c>
    </row>
    <row r="1587" spans="1:12" x14ac:dyDescent="0.25">
      <c r="A1587" s="4"/>
      <c r="I1587" s="7" t="s">
        <v>290</v>
      </c>
      <c r="J1587" s="5">
        <v>10000</v>
      </c>
    </row>
    <row r="1588" spans="1:12" x14ac:dyDescent="0.25">
      <c r="A1588" s="4"/>
    </row>
    <row r="1589" spans="1:12" x14ac:dyDescent="0.25">
      <c r="A1589" s="4"/>
      <c r="I1589" s="7" t="s">
        <v>20</v>
      </c>
      <c r="J1589" s="5">
        <f>SUM(J1584:J1588)</f>
        <v>262000</v>
      </c>
    </row>
    <row r="1590" spans="1:12" x14ac:dyDescent="0.25">
      <c r="A1590" s="4"/>
    </row>
    <row r="1591" spans="1:12" x14ac:dyDescent="0.25">
      <c r="A1591" s="1" t="s">
        <v>0</v>
      </c>
      <c r="B1591" s="1" t="s">
        <v>1</v>
      </c>
      <c r="C1591" s="1" t="s">
        <v>2</v>
      </c>
      <c r="D1591" s="1" t="s">
        <v>3</v>
      </c>
      <c r="E1591" s="1" t="s">
        <v>4</v>
      </c>
      <c r="F1591" s="2" t="s">
        <v>5</v>
      </c>
      <c r="G1591" s="3" t="s">
        <v>6</v>
      </c>
      <c r="H1591" s="3" t="s">
        <v>7</v>
      </c>
      <c r="I1591" s="6" t="s">
        <v>8</v>
      </c>
      <c r="J1591" s="2" t="s">
        <v>9</v>
      </c>
      <c r="K1591" s="3" t="s">
        <v>10</v>
      </c>
      <c r="L1591" s="2" t="s">
        <v>9</v>
      </c>
    </row>
    <row r="1592" spans="1:12" x14ac:dyDescent="0.25">
      <c r="A1592" s="4">
        <v>45846</v>
      </c>
      <c r="B1592" t="s">
        <v>721</v>
      </c>
      <c r="C1592" t="s">
        <v>722</v>
      </c>
      <c r="E1592">
        <v>2021</v>
      </c>
      <c r="F1592" s="5">
        <v>63670</v>
      </c>
      <c r="G1592" t="s">
        <v>723</v>
      </c>
      <c r="H1592">
        <v>3163578265</v>
      </c>
      <c r="I1592" s="7" t="s">
        <v>77</v>
      </c>
      <c r="J1592" s="5">
        <v>22000</v>
      </c>
    </row>
    <row r="1593" spans="1:12" x14ac:dyDescent="0.25">
      <c r="A1593" s="4"/>
      <c r="I1593" s="7" t="s">
        <v>226</v>
      </c>
      <c r="J1593" s="5">
        <v>240000</v>
      </c>
    </row>
    <row r="1594" spans="1:12" x14ac:dyDescent="0.25">
      <c r="A1594" s="4"/>
      <c r="I1594" s="7" t="s">
        <v>125</v>
      </c>
      <c r="J1594" s="5">
        <v>45000</v>
      </c>
    </row>
    <row r="1595" spans="1:12" x14ac:dyDescent="0.25">
      <c r="A1595" s="4"/>
      <c r="I1595" s="7" t="s">
        <v>70</v>
      </c>
      <c r="J1595" s="5">
        <v>48000</v>
      </c>
    </row>
    <row r="1596" spans="1:12" x14ac:dyDescent="0.25">
      <c r="A1596" s="4"/>
      <c r="I1596" s="7" t="s">
        <v>100</v>
      </c>
      <c r="J1596" s="5">
        <v>250000</v>
      </c>
    </row>
    <row r="1597" spans="1:12" x14ac:dyDescent="0.25">
      <c r="A1597" s="4"/>
      <c r="I1597" s="7" t="s">
        <v>230</v>
      </c>
      <c r="J1597" s="5">
        <v>10000</v>
      </c>
    </row>
    <row r="1598" spans="1:12" x14ac:dyDescent="0.25">
      <c r="A1598" s="4"/>
      <c r="I1598" s="7" t="s">
        <v>724</v>
      </c>
      <c r="J1598" s="5">
        <v>20000</v>
      </c>
    </row>
    <row r="1599" spans="1:12" x14ac:dyDescent="0.25">
      <c r="A1599" s="4"/>
    </row>
    <row r="1600" spans="1:12" x14ac:dyDescent="0.25">
      <c r="A1600" s="4"/>
      <c r="I1600" s="7" t="s">
        <v>20</v>
      </c>
      <c r="J1600" s="5">
        <f>SUM(J1592:J1599)</f>
        <v>635000</v>
      </c>
    </row>
    <row r="1601" spans="1:12" x14ac:dyDescent="0.25">
      <c r="A1601" s="4"/>
    </row>
    <row r="1602" spans="1:12" x14ac:dyDescent="0.25">
      <c r="A1602" s="1" t="s">
        <v>0</v>
      </c>
      <c r="B1602" s="1" t="s">
        <v>1</v>
      </c>
      <c r="C1602" s="1" t="s">
        <v>2</v>
      </c>
      <c r="D1602" s="1" t="s">
        <v>3</v>
      </c>
      <c r="E1602" s="1" t="s">
        <v>4</v>
      </c>
      <c r="F1602" s="2" t="s">
        <v>5</v>
      </c>
      <c r="G1602" s="3" t="s">
        <v>6</v>
      </c>
      <c r="H1602" s="3" t="s">
        <v>7</v>
      </c>
      <c r="I1602" s="6" t="s">
        <v>8</v>
      </c>
      <c r="J1602" s="2" t="s">
        <v>9</v>
      </c>
      <c r="K1602" s="3" t="s">
        <v>10</v>
      </c>
      <c r="L1602" s="2" t="s">
        <v>9</v>
      </c>
    </row>
    <row r="1603" spans="1:12" x14ac:dyDescent="0.25">
      <c r="A1603" s="4">
        <v>45846</v>
      </c>
      <c r="B1603" t="s">
        <v>725</v>
      </c>
      <c r="C1603" t="s">
        <v>726</v>
      </c>
      <c r="D1603" t="s">
        <v>29</v>
      </c>
      <c r="E1603">
        <v>2014</v>
      </c>
      <c r="F1603" s="5">
        <v>69001</v>
      </c>
      <c r="G1603" t="s">
        <v>727</v>
      </c>
      <c r="H1603">
        <v>3202525177</v>
      </c>
      <c r="I1603" s="7" t="s">
        <v>16</v>
      </c>
      <c r="J1603" s="5">
        <v>380000</v>
      </c>
    </row>
    <row r="1604" spans="1:12" x14ac:dyDescent="0.25">
      <c r="A1604" s="4"/>
      <c r="I1604" s="7" t="s">
        <v>17</v>
      </c>
      <c r="J1604" s="5">
        <v>276000</v>
      </c>
    </row>
    <row r="1605" spans="1:12" x14ac:dyDescent="0.25">
      <c r="A1605" s="4"/>
      <c r="I1605" s="7" t="s">
        <v>18</v>
      </c>
      <c r="J1605" s="5">
        <v>46000</v>
      </c>
    </row>
    <row r="1606" spans="1:12" x14ac:dyDescent="0.25">
      <c r="A1606" s="4"/>
      <c r="I1606" s="7" t="s">
        <v>172</v>
      </c>
      <c r="J1606" s="5">
        <v>228000</v>
      </c>
    </row>
    <row r="1607" spans="1:12" x14ac:dyDescent="0.25">
      <c r="A1607" s="4"/>
      <c r="I1607" s="7" t="s">
        <v>77</v>
      </c>
      <c r="J1607" s="5">
        <v>22000</v>
      </c>
    </row>
    <row r="1608" spans="1:12" x14ac:dyDescent="0.25">
      <c r="A1608" s="4"/>
      <c r="I1608" s="7" t="s">
        <v>461</v>
      </c>
      <c r="J1608" s="5">
        <v>80000</v>
      </c>
    </row>
    <row r="1609" spans="1:12" x14ac:dyDescent="0.25">
      <c r="A1609" s="4"/>
      <c r="I1609" s="7" t="s">
        <v>88</v>
      </c>
      <c r="J1609" s="5">
        <v>210000</v>
      </c>
    </row>
    <row r="1610" spans="1:12" x14ac:dyDescent="0.25">
      <c r="A1610" s="4"/>
    </row>
    <row r="1611" spans="1:12" x14ac:dyDescent="0.25">
      <c r="A1611" s="4"/>
      <c r="I1611" s="7" t="s">
        <v>20</v>
      </c>
      <c r="J1611" s="5">
        <f>SUM(J1603:J1610)</f>
        <v>1242000</v>
      </c>
    </row>
    <row r="1612" spans="1:12" x14ac:dyDescent="0.25">
      <c r="A1612" s="4"/>
    </row>
    <row r="1613" spans="1:12" x14ac:dyDescent="0.25">
      <c r="A1613" s="1" t="s">
        <v>0</v>
      </c>
      <c r="B1613" s="1" t="s">
        <v>1</v>
      </c>
      <c r="C1613" s="1" t="s">
        <v>2</v>
      </c>
      <c r="D1613" s="1" t="s">
        <v>3</v>
      </c>
      <c r="E1613" s="1" t="s">
        <v>4</v>
      </c>
      <c r="F1613" s="2" t="s">
        <v>5</v>
      </c>
      <c r="G1613" s="3" t="s">
        <v>6</v>
      </c>
      <c r="H1613" s="3" t="s">
        <v>7</v>
      </c>
      <c r="I1613" s="6" t="s">
        <v>8</v>
      </c>
      <c r="J1613" s="2" t="s">
        <v>9</v>
      </c>
      <c r="K1613" s="3" t="s">
        <v>10</v>
      </c>
      <c r="L1613" s="2" t="s">
        <v>9</v>
      </c>
    </row>
    <row r="1614" spans="1:12" x14ac:dyDescent="0.25">
      <c r="A1614" s="4">
        <v>45846</v>
      </c>
      <c r="B1614" t="s">
        <v>21</v>
      </c>
      <c r="C1614" t="s">
        <v>728</v>
      </c>
      <c r="D1614" t="s">
        <v>322</v>
      </c>
      <c r="E1614">
        <v>2010</v>
      </c>
      <c r="F1614" s="5">
        <v>133741</v>
      </c>
      <c r="G1614" t="s">
        <v>729</v>
      </c>
      <c r="I1614" s="7" t="s">
        <v>159</v>
      </c>
      <c r="J1614" s="5">
        <v>190000</v>
      </c>
    </row>
    <row r="1615" spans="1:12" x14ac:dyDescent="0.25">
      <c r="A1615" s="4"/>
      <c r="I1615" s="7" t="s">
        <v>17</v>
      </c>
      <c r="J1615" s="5">
        <v>168000</v>
      </c>
    </row>
    <row r="1616" spans="1:12" x14ac:dyDescent="0.25">
      <c r="A1616" s="4"/>
      <c r="I1616" s="7" t="s">
        <v>18</v>
      </c>
      <c r="J1616" s="5">
        <v>46000</v>
      </c>
    </row>
    <row r="1617" spans="1:12" x14ac:dyDescent="0.25">
      <c r="A1617" s="4"/>
      <c r="I1617" s="7" t="s">
        <v>730</v>
      </c>
      <c r="J1617" s="5">
        <v>120000</v>
      </c>
    </row>
    <row r="1618" spans="1:12" x14ac:dyDescent="0.25">
      <c r="A1618" s="4"/>
    </row>
    <row r="1619" spans="1:12" x14ac:dyDescent="0.25">
      <c r="A1619" s="4"/>
      <c r="I1619" s="7" t="s">
        <v>20</v>
      </c>
      <c r="J1619" s="5">
        <f>SUM(J1614:J1618)</f>
        <v>524000</v>
      </c>
    </row>
    <row r="1620" spans="1:12" x14ac:dyDescent="0.25">
      <c r="A1620" s="4"/>
    </row>
    <row r="1621" spans="1:12" x14ac:dyDescent="0.25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2" t="s">
        <v>5</v>
      </c>
      <c r="G1621" s="3" t="s">
        <v>6</v>
      </c>
      <c r="H1621" s="3" t="s">
        <v>7</v>
      </c>
      <c r="I1621" s="6" t="s">
        <v>8</v>
      </c>
      <c r="J1621" s="2" t="s">
        <v>9</v>
      </c>
      <c r="K1621" s="3" t="s">
        <v>10</v>
      </c>
      <c r="L1621" s="2" t="s">
        <v>9</v>
      </c>
    </row>
    <row r="1622" spans="1:12" x14ac:dyDescent="0.25">
      <c r="A1622" s="4">
        <v>45846</v>
      </c>
      <c r="B1622" t="s">
        <v>406</v>
      </c>
      <c r="C1622" t="s">
        <v>1210</v>
      </c>
      <c r="D1622" t="s">
        <v>13</v>
      </c>
      <c r="E1622">
        <v>2011</v>
      </c>
      <c r="G1622" t="s">
        <v>1211</v>
      </c>
      <c r="H1622">
        <v>3132518711</v>
      </c>
      <c r="I1622" s="7" t="s">
        <v>920</v>
      </c>
    </row>
    <row r="1623" spans="1:12" x14ac:dyDescent="0.25">
      <c r="A1623" s="4"/>
    </row>
    <row r="1624" spans="1:12" x14ac:dyDescent="0.25">
      <c r="A1624" s="4"/>
      <c r="I1624" s="7" t="s">
        <v>20</v>
      </c>
    </row>
    <row r="1625" spans="1:12" x14ac:dyDescent="0.25">
      <c r="A1625" s="4"/>
    </row>
    <row r="1626" spans="1:12" x14ac:dyDescent="0.25">
      <c r="A1626" s="1" t="s">
        <v>0</v>
      </c>
      <c r="B1626" s="1" t="s">
        <v>1</v>
      </c>
      <c r="C1626" s="1" t="s">
        <v>2</v>
      </c>
      <c r="D1626" s="1" t="s">
        <v>3</v>
      </c>
      <c r="E1626" s="1" t="s">
        <v>4</v>
      </c>
      <c r="F1626" s="2" t="s">
        <v>5</v>
      </c>
      <c r="G1626" s="3" t="s">
        <v>6</v>
      </c>
      <c r="H1626" s="3" t="s">
        <v>7</v>
      </c>
      <c r="I1626" s="6" t="s">
        <v>8</v>
      </c>
      <c r="J1626" s="2" t="s">
        <v>9</v>
      </c>
      <c r="K1626" s="3" t="s">
        <v>10</v>
      </c>
      <c r="L1626" s="2" t="s">
        <v>9</v>
      </c>
    </row>
    <row r="1627" spans="1:12" x14ac:dyDescent="0.25">
      <c r="A1627" s="4">
        <v>45847</v>
      </c>
      <c r="B1627" t="s">
        <v>21</v>
      </c>
      <c r="C1627" t="s">
        <v>740</v>
      </c>
      <c r="D1627" t="s">
        <v>153</v>
      </c>
      <c r="E1627">
        <v>2015</v>
      </c>
      <c r="F1627" s="5">
        <v>67784</v>
      </c>
      <c r="G1627" t="s">
        <v>741</v>
      </c>
      <c r="H1627">
        <v>3182619275</v>
      </c>
      <c r="I1627" s="7" t="s">
        <v>16</v>
      </c>
      <c r="J1627" s="5">
        <v>390000</v>
      </c>
    </row>
    <row r="1628" spans="1:12" x14ac:dyDescent="0.25">
      <c r="A1628" s="4"/>
      <c r="I1628" s="7" t="s">
        <v>742</v>
      </c>
      <c r="J1628" s="5">
        <v>100000</v>
      </c>
    </row>
    <row r="1629" spans="1:12" x14ac:dyDescent="0.25">
      <c r="A1629" s="4"/>
      <c r="I1629" s="7" t="s">
        <v>743</v>
      </c>
      <c r="J1629" s="5">
        <v>950000</v>
      </c>
    </row>
    <row r="1630" spans="1:12" x14ac:dyDescent="0.25">
      <c r="A1630" s="4"/>
      <c r="I1630" s="7" t="s">
        <v>744</v>
      </c>
    </row>
    <row r="1631" spans="1:12" x14ac:dyDescent="0.25">
      <c r="A1631" s="4"/>
      <c r="I1631" s="7" t="s">
        <v>430</v>
      </c>
      <c r="J1631" s="5">
        <v>54000</v>
      </c>
    </row>
    <row r="1632" spans="1:12" x14ac:dyDescent="0.25">
      <c r="A1632" s="4"/>
      <c r="I1632" s="7" t="s">
        <v>745</v>
      </c>
      <c r="J1632" s="5">
        <v>120000</v>
      </c>
    </row>
    <row r="1633" spans="1:12" x14ac:dyDescent="0.25">
      <c r="A1633" s="4"/>
      <c r="I1633" s="7" t="s">
        <v>150</v>
      </c>
      <c r="J1633" s="5">
        <v>150000</v>
      </c>
    </row>
    <row r="1634" spans="1:12" x14ac:dyDescent="0.25">
      <c r="A1634" s="4"/>
      <c r="I1634" s="7" t="s">
        <v>746</v>
      </c>
      <c r="J1634" s="5">
        <v>150000</v>
      </c>
    </row>
    <row r="1635" spans="1:12" x14ac:dyDescent="0.25">
      <c r="A1635" s="4"/>
      <c r="I1635" s="7" t="s">
        <v>25</v>
      </c>
      <c r="J1635" s="5">
        <v>160000</v>
      </c>
    </row>
    <row r="1636" spans="1:12" x14ac:dyDescent="0.25">
      <c r="A1636" s="4"/>
      <c r="I1636" s="7" t="s">
        <v>50</v>
      </c>
      <c r="J1636" s="5">
        <v>200000</v>
      </c>
    </row>
    <row r="1637" spans="1:12" x14ac:dyDescent="0.25">
      <c r="A1637" s="4"/>
    </row>
    <row r="1638" spans="1:12" x14ac:dyDescent="0.25">
      <c r="A1638" s="4"/>
      <c r="I1638" s="7" t="s">
        <v>20</v>
      </c>
      <c r="J1638" s="5">
        <f>SUM(J1627:J1637)</f>
        <v>2274000</v>
      </c>
    </row>
    <row r="1639" spans="1:12" x14ac:dyDescent="0.25">
      <c r="A1639" s="4"/>
    </row>
    <row r="1640" spans="1:12" x14ac:dyDescent="0.25">
      <c r="A1640" s="1" t="s">
        <v>0</v>
      </c>
      <c r="B1640" s="1" t="s">
        <v>1</v>
      </c>
      <c r="C1640" s="1" t="s">
        <v>2</v>
      </c>
      <c r="D1640" s="1" t="s">
        <v>3</v>
      </c>
      <c r="E1640" s="1" t="s">
        <v>4</v>
      </c>
      <c r="F1640" s="2" t="s">
        <v>5</v>
      </c>
      <c r="G1640" s="3" t="s">
        <v>6</v>
      </c>
      <c r="H1640" s="3" t="s">
        <v>7</v>
      </c>
      <c r="I1640" s="6" t="s">
        <v>8</v>
      </c>
      <c r="J1640" s="2" t="s">
        <v>9</v>
      </c>
      <c r="K1640" s="3" t="s">
        <v>10</v>
      </c>
      <c r="L1640" s="2" t="s">
        <v>9</v>
      </c>
    </row>
    <row r="1641" spans="1:12" x14ac:dyDescent="0.25">
      <c r="A1641" s="4">
        <v>45848</v>
      </c>
      <c r="B1641" t="s">
        <v>735</v>
      </c>
      <c r="C1641" t="s">
        <v>736</v>
      </c>
      <c r="D1641" t="s">
        <v>53</v>
      </c>
      <c r="E1641">
        <v>2015</v>
      </c>
      <c r="F1641" s="5">
        <v>52818</v>
      </c>
      <c r="G1641" t="s">
        <v>737</v>
      </c>
      <c r="H1641">
        <v>3123866263</v>
      </c>
      <c r="I1641" s="7" t="s">
        <v>17</v>
      </c>
      <c r="J1641" s="5">
        <v>300000</v>
      </c>
    </row>
    <row r="1642" spans="1:12" x14ac:dyDescent="0.25">
      <c r="A1642" s="4"/>
      <c r="I1642" s="7" t="s">
        <v>18</v>
      </c>
      <c r="J1642" s="5">
        <v>46000</v>
      </c>
    </row>
    <row r="1643" spans="1:12" x14ac:dyDescent="0.25">
      <c r="A1643" s="4"/>
      <c r="I1643" s="7" t="s">
        <v>738</v>
      </c>
      <c r="J1643" s="5">
        <v>140000</v>
      </c>
    </row>
    <row r="1644" spans="1:12" x14ac:dyDescent="0.25">
      <c r="A1644" s="4"/>
      <c r="I1644" s="7" t="s">
        <v>739</v>
      </c>
      <c r="J1644" s="5">
        <v>30000</v>
      </c>
    </row>
    <row r="1645" spans="1:12" x14ac:dyDescent="0.25">
      <c r="A1645" s="4"/>
      <c r="I1645" s="7" t="s">
        <v>17</v>
      </c>
      <c r="J1645" s="5">
        <v>40000</v>
      </c>
    </row>
    <row r="1646" spans="1:12" x14ac:dyDescent="0.25">
      <c r="A1646" s="4"/>
    </row>
    <row r="1647" spans="1:12" x14ac:dyDescent="0.25">
      <c r="A1647" s="4"/>
      <c r="I1647" s="7" t="s">
        <v>20</v>
      </c>
      <c r="J1647" s="5">
        <f>SUM(J1641:J1646)</f>
        <v>556000</v>
      </c>
    </row>
    <row r="1648" spans="1:12" x14ac:dyDescent="0.25">
      <c r="A1648" s="4"/>
    </row>
    <row r="1649" spans="1:12" x14ac:dyDescent="0.25">
      <c r="A1649" s="4"/>
    </row>
    <row r="1650" spans="1:12" x14ac:dyDescent="0.25">
      <c r="A1650" s="4"/>
    </row>
    <row r="1651" spans="1:12" x14ac:dyDescent="0.25">
      <c r="A1651" s="4"/>
    </row>
    <row r="1655" spans="1:12" x14ac:dyDescent="0.25">
      <c r="A1655" s="1" t="s">
        <v>0</v>
      </c>
      <c r="B1655" s="1" t="s">
        <v>1</v>
      </c>
      <c r="C1655" s="1" t="s">
        <v>2</v>
      </c>
      <c r="D1655" s="1" t="s">
        <v>3</v>
      </c>
      <c r="E1655" s="1" t="s">
        <v>4</v>
      </c>
      <c r="F1655" s="2" t="s">
        <v>5</v>
      </c>
      <c r="G1655" s="3" t="s">
        <v>6</v>
      </c>
      <c r="H1655" s="3" t="s">
        <v>7</v>
      </c>
      <c r="I1655" s="6" t="s">
        <v>8</v>
      </c>
      <c r="J1655" s="2" t="s">
        <v>9</v>
      </c>
      <c r="K1655" s="3" t="s">
        <v>10</v>
      </c>
      <c r="L1655" s="2" t="s">
        <v>9</v>
      </c>
    </row>
    <row r="1656" spans="1:12" x14ac:dyDescent="0.25">
      <c r="A1656" s="4">
        <v>45848</v>
      </c>
      <c r="B1656" t="s">
        <v>610</v>
      </c>
      <c r="C1656" t="s">
        <v>611</v>
      </c>
      <c r="D1656" t="s">
        <v>322</v>
      </c>
      <c r="F1656" s="5">
        <v>29741</v>
      </c>
      <c r="G1656" t="s">
        <v>612</v>
      </c>
      <c r="H1656">
        <v>3204641159</v>
      </c>
      <c r="I1656" s="7" t="s">
        <v>26</v>
      </c>
      <c r="J1656" s="5">
        <v>35000</v>
      </c>
    </row>
    <row r="1657" spans="1:12" x14ac:dyDescent="0.25">
      <c r="I1657" s="7" t="s">
        <v>313</v>
      </c>
      <c r="J1657" s="5">
        <v>150000</v>
      </c>
    </row>
    <row r="1658" spans="1:12" x14ac:dyDescent="0.25">
      <c r="I1658" s="7" t="s">
        <v>200</v>
      </c>
      <c r="J1658" s="5">
        <v>60000</v>
      </c>
    </row>
    <row r="1659" spans="1:12" x14ac:dyDescent="0.25">
      <c r="I1659" s="7" t="s">
        <v>613</v>
      </c>
      <c r="J1659" s="5">
        <v>80000</v>
      </c>
    </row>
    <row r="1660" spans="1:12" x14ac:dyDescent="0.25">
      <c r="I1660" s="7" t="s">
        <v>614</v>
      </c>
      <c r="J1660" s="5">
        <v>250000</v>
      </c>
    </row>
    <row r="1661" spans="1:12" x14ac:dyDescent="0.25">
      <c r="I1661" s="7" t="s">
        <v>615</v>
      </c>
    </row>
    <row r="1662" spans="1:12" x14ac:dyDescent="0.25">
      <c r="I1662" s="7" t="s">
        <v>226</v>
      </c>
      <c r="J1662" s="5">
        <v>380000</v>
      </c>
    </row>
    <row r="1663" spans="1:12" x14ac:dyDescent="0.25">
      <c r="I1663" s="7" t="s">
        <v>230</v>
      </c>
      <c r="J1663" s="5">
        <v>24000</v>
      </c>
    </row>
    <row r="1664" spans="1:12" x14ac:dyDescent="0.25">
      <c r="I1664" s="7" t="s">
        <v>125</v>
      </c>
      <c r="J1664" s="5">
        <v>55000</v>
      </c>
    </row>
    <row r="1665" spans="1:12" x14ac:dyDescent="0.25">
      <c r="I1665" s="7" t="s">
        <v>205</v>
      </c>
      <c r="J1665" s="5">
        <v>60000</v>
      </c>
    </row>
    <row r="1666" spans="1:12" x14ac:dyDescent="0.25">
      <c r="I1666" s="7" t="s">
        <v>229</v>
      </c>
      <c r="J1666" s="5">
        <v>25000</v>
      </c>
    </row>
    <row r="1667" spans="1:12" x14ac:dyDescent="0.25">
      <c r="I1667" s="7" t="s">
        <v>616</v>
      </c>
      <c r="J1667" s="5">
        <v>15000</v>
      </c>
    </row>
    <row r="1669" spans="1:12" x14ac:dyDescent="0.25">
      <c r="I1669" s="7" t="s">
        <v>20</v>
      </c>
      <c r="J1669" s="5">
        <f>SUM(J1656:J1668)</f>
        <v>1134000</v>
      </c>
    </row>
    <row r="1671" spans="1:12" x14ac:dyDescent="0.25">
      <c r="A1671" s="1" t="s">
        <v>0</v>
      </c>
      <c r="B1671" s="1" t="s">
        <v>1</v>
      </c>
      <c r="C1671" s="1" t="s">
        <v>2</v>
      </c>
      <c r="D1671" s="1" t="s">
        <v>3</v>
      </c>
      <c r="E1671" s="1" t="s">
        <v>4</v>
      </c>
      <c r="F1671" s="2" t="s">
        <v>5</v>
      </c>
      <c r="G1671" s="3" t="s">
        <v>6</v>
      </c>
      <c r="H1671" s="3" t="s">
        <v>7</v>
      </c>
      <c r="I1671" s="6" t="s">
        <v>8</v>
      </c>
      <c r="J1671" s="2" t="s">
        <v>9</v>
      </c>
      <c r="K1671" s="3" t="s">
        <v>10</v>
      </c>
      <c r="L1671" s="2" t="s">
        <v>9</v>
      </c>
    </row>
    <row r="1672" spans="1:12" x14ac:dyDescent="0.25">
      <c r="A1672" s="4">
        <v>45848</v>
      </c>
      <c r="B1672" t="s">
        <v>747</v>
      </c>
      <c r="D1672" t="s">
        <v>84</v>
      </c>
      <c r="G1672" t="s">
        <v>749</v>
      </c>
      <c r="I1672" s="7" t="s">
        <v>100</v>
      </c>
      <c r="J1672" s="5">
        <v>900000</v>
      </c>
    </row>
    <row r="1673" spans="1:12" x14ac:dyDescent="0.25">
      <c r="B1673" t="s">
        <v>748</v>
      </c>
      <c r="I1673" s="7" t="s">
        <v>750</v>
      </c>
      <c r="J1673" s="5">
        <v>397000</v>
      </c>
    </row>
    <row r="1674" spans="1:12" x14ac:dyDescent="0.25">
      <c r="I1674" s="7" t="s">
        <v>77</v>
      </c>
      <c r="J1674" s="5">
        <v>25000</v>
      </c>
    </row>
    <row r="1675" spans="1:12" x14ac:dyDescent="0.25">
      <c r="I1675" s="7" t="s">
        <v>70</v>
      </c>
      <c r="J1675" s="5">
        <v>171000</v>
      </c>
    </row>
    <row r="1677" spans="1:12" x14ac:dyDescent="0.25">
      <c r="I1677" s="7" t="s">
        <v>20</v>
      </c>
      <c r="J1677" s="5">
        <f>SUM(J1672:J1676)</f>
        <v>1493000</v>
      </c>
    </row>
    <row r="1679" spans="1:12" x14ac:dyDescent="0.25">
      <c r="A1679" s="1" t="s">
        <v>0</v>
      </c>
      <c r="B1679" s="1" t="s">
        <v>1</v>
      </c>
      <c r="C1679" s="1" t="s">
        <v>2</v>
      </c>
      <c r="D1679" s="1" t="s">
        <v>3</v>
      </c>
      <c r="E1679" s="1" t="s">
        <v>4</v>
      </c>
      <c r="F1679" s="2" t="s">
        <v>5</v>
      </c>
      <c r="G1679" s="3" t="s">
        <v>6</v>
      </c>
      <c r="H1679" s="3" t="s">
        <v>7</v>
      </c>
      <c r="I1679" s="6" t="s">
        <v>8</v>
      </c>
      <c r="J1679" s="2" t="s">
        <v>9</v>
      </c>
      <c r="K1679" s="3" t="s">
        <v>10</v>
      </c>
      <c r="L1679" s="2" t="s">
        <v>9</v>
      </c>
    </row>
    <row r="1680" spans="1:12" x14ac:dyDescent="0.25">
      <c r="A1680" s="4">
        <v>45848</v>
      </c>
      <c r="B1680" t="s">
        <v>386</v>
      </c>
      <c r="C1680" t="s">
        <v>759</v>
      </c>
      <c r="D1680" t="s">
        <v>29</v>
      </c>
      <c r="E1680">
        <v>2021</v>
      </c>
      <c r="F1680" s="5">
        <v>23365</v>
      </c>
      <c r="G1680" t="s">
        <v>715</v>
      </c>
      <c r="H1680">
        <v>3057063244</v>
      </c>
      <c r="I1680" s="7" t="s">
        <v>16</v>
      </c>
      <c r="J1680" s="5">
        <v>250000</v>
      </c>
    </row>
    <row r="1681" spans="1:12" x14ac:dyDescent="0.25">
      <c r="I1681" s="7" t="s">
        <v>172</v>
      </c>
      <c r="J1681" s="5">
        <v>228000</v>
      </c>
    </row>
    <row r="1682" spans="1:12" x14ac:dyDescent="0.25">
      <c r="I1682" s="7" t="s">
        <v>26</v>
      </c>
      <c r="J1682" s="5">
        <v>35000</v>
      </c>
    </row>
    <row r="1684" spans="1:12" x14ac:dyDescent="0.25">
      <c r="I1684" s="7" t="s">
        <v>20</v>
      </c>
      <c r="J1684" s="5">
        <f>SUM(J1680:J1683)</f>
        <v>513000</v>
      </c>
    </row>
    <row r="1686" spans="1:12" x14ac:dyDescent="0.25">
      <c r="A1686" s="1" t="s">
        <v>0</v>
      </c>
      <c r="B1686" s="1" t="s">
        <v>1</v>
      </c>
      <c r="C1686" s="1" t="s">
        <v>2</v>
      </c>
      <c r="D1686" s="1" t="s">
        <v>3</v>
      </c>
      <c r="E1686" s="1" t="s">
        <v>4</v>
      </c>
      <c r="F1686" s="2" t="s">
        <v>5</v>
      </c>
      <c r="G1686" s="3" t="s">
        <v>6</v>
      </c>
      <c r="H1686" s="3" t="s">
        <v>7</v>
      </c>
      <c r="I1686" s="6" t="s">
        <v>8</v>
      </c>
      <c r="J1686" s="2" t="s">
        <v>9</v>
      </c>
      <c r="K1686" s="3" t="s">
        <v>10</v>
      </c>
      <c r="L1686" s="2" t="s">
        <v>9</v>
      </c>
    </row>
    <row r="1687" spans="1:12" x14ac:dyDescent="0.25">
      <c r="A1687" s="4">
        <v>45848</v>
      </c>
      <c r="B1687" t="s">
        <v>292</v>
      </c>
      <c r="C1687" t="s">
        <v>665</v>
      </c>
      <c r="D1687" t="s">
        <v>29</v>
      </c>
      <c r="E1687">
        <v>2015</v>
      </c>
      <c r="G1687" t="s">
        <v>666</v>
      </c>
      <c r="H1687">
        <v>3204654728</v>
      </c>
      <c r="I1687" s="7" t="s">
        <v>1206</v>
      </c>
    </row>
    <row r="1689" spans="1:12" x14ac:dyDescent="0.25">
      <c r="I1689" s="7" t="s">
        <v>20</v>
      </c>
    </row>
    <row r="1691" spans="1:12" x14ac:dyDescent="0.25">
      <c r="A1691" s="1" t="s">
        <v>0</v>
      </c>
      <c r="B1691" s="1" t="s">
        <v>1</v>
      </c>
      <c r="C1691" s="1" t="s">
        <v>2</v>
      </c>
      <c r="D1691" s="1" t="s">
        <v>3</v>
      </c>
      <c r="E1691" s="1" t="s">
        <v>4</v>
      </c>
      <c r="F1691" s="2" t="s">
        <v>5</v>
      </c>
      <c r="G1691" s="3" t="s">
        <v>6</v>
      </c>
      <c r="H1691" s="3" t="s">
        <v>7</v>
      </c>
      <c r="I1691" s="6" t="s">
        <v>8</v>
      </c>
      <c r="J1691" s="2" t="s">
        <v>9</v>
      </c>
      <c r="K1691" s="3" t="s">
        <v>10</v>
      </c>
      <c r="L1691" s="2" t="s">
        <v>9</v>
      </c>
    </row>
    <row r="1692" spans="1:12" x14ac:dyDescent="0.25">
      <c r="A1692" s="4">
        <v>45849</v>
      </c>
      <c r="B1692" t="s">
        <v>21</v>
      </c>
      <c r="C1692" t="s">
        <v>765</v>
      </c>
      <c r="D1692" t="s">
        <v>153</v>
      </c>
      <c r="F1692" s="5">
        <v>101274</v>
      </c>
      <c r="G1692" t="s">
        <v>766</v>
      </c>
      <c r="I1692" s="7" t="s">
        <v>16</v>
      </c>
      <c r="J1692" s="5">
        <v>390000</v>
      </c>
    </row>
    <row r="1693" spans="1:12" x14ac:dyDescent="0.25">
      <c r="I1693" s="7" t="s">
        <v>298</v>
      </c>
      <c r="J1693" s="5">
        <v>434000</v>
      </c>
    </row>
    <row r="1694" spans="1:12" x14ac:dyDescent="0.25">
      <c r="I1694" s="7" t="s">
        <v>767</v>
      </c>
      <c r="J1694" s="5">
        <v>240000</v>
      </c>
    </row>
    <row r="1695" spans="1:12" x14ac:dyDescent="0.25">
      <c r="I1695" s="7" t="s">
        <v>77</v>
      </c>
      <c r="J1695" s="5">
        <v>22000</v>
      </c>
    </row>
    <row r="1696" spans="1:12" x14ac:dyDescent="0.25">
      <c r="I1696" s="7" t="s">
        <v>150</v>
      </c>
      <c r="J1696" s="5">
        <v>150000</v>
      </c>
    </row>
    <row r="1697" spans="1:12" x14ac:dyDescent="0.25">
      <c r="I1697" s="7" t="s">
        <v>768</v>
      </c>
      <c r="J1697" s="5">
        <v>120000</v>
      </c>
    </row>
    <row r="1699" spans="1:12" x14ac:dyDescent="0.25">
      <c r="I1699" s="7" t="s">
        <v>20</v>
      </c>
      <c r="J1699" s="5">
        <f>SUM(J1692:J1698)</f>
        <v>1356000</v>
      </c>
    </row>
    <row r="1701" spans="1:12" x14ac:dyDescent="0.25">
      <c r="A1701" s="1" t="s">
        <v>0</v>
      </c>
      <c r="B1701" s="1" t="s">
        <v>1</v>
      </c>
      <c r="C1701" s="1" t="s">
        <v>2</v>
      </c>
      <c r="D1701" s="1" t="s">
        <v>3</v>
      </c>
      <c r="E1701" s="1" t="s">
        <v>4</v>
      </c>
      <c r="F1701" s="2" t="s">
        <v>5</v>
      </c>
      <c r="G1701" s="3" t="s">
        <v>6</v>
      </c>
      <c r="H1701" s="3" t="s">
        <v>7</v>
      </c>
      <c r="I1701" s="6" t="s">
        <v>8</v>
      </c>
      <c r="J1701" s="2" t="s">
        <v>9</v>
      </c>
      <c r="K1701" s="3" t="s">
        <v>10</v>
      </c>
      <c r="L1701" s="2" t="s">
        <v>9</v>
      </c>
    </row>
    <row r="1702" spans="1:12" x14ac:dyDescent="0.25">
      <c r="A1702" s="4">
        <v>45849</v>
      </c>
      <c r="B1702" t="s">
        <v>769</v>
      </c>
      <c r="C1702" t="s">
        <v>770</v>
      </c>
      <c r="E1702">
        <v>2024</v>
      </c>
      <c r="F1702" s="5">
        <v>7024</v>
      </c>
      <c r="G1702" t="s">
        <v>771</v>
      </c>
      <c r="H1702">
        <v>3182940631</v>
      </c>
      <c r="I1702" s="7" t="s">
        <v>772</v>
      </c>
      <c r="J1702" s="5">
        <v>160000</v>
      </c>
    </row>
    <row r="1703" spans="1:12" x14ac:dyDescent="0.25">
      <c r="I1703" s="7" t="s">
        <v>660</v>
      </c>
      <c r="J1703" s="5">
        <v>80000</v>
      </c>
    </row>
    <row r="1705" spans="1:12" x14ac:dyDescent="0.25">
      <c r="I1705" s="7" t="s">
        <v>20</v>
      </c>
      <c r="J1705" s="5">
        <f>SUM(J1702:J1704)</f>
        <v>240000</v>
      </c>
    </row>
    <row r="1707" spans="1:12" x14ac:dyDescent="0.25">
      <c r="A1707" s="1" t="s">
        <v>0</v>
      </c>
      <c r="B1707" s="1" t="s">
        <v>1</v>
      </c>
      <c r="C1707" s="1" t="s">
        <v>2</v>
      </c>
      <c r="D1707" s="1" t="s">
        <v>3</v>
      </c>
      <c r="E1707" s="1" t="s">
        <v>4</v>
      </c>
      <c r="F1707" s="2" t="s">
        <v>5</v>
      </c>
      <c r="G1707" s="3" t="s">
        <v>6</v>
      </c>
      <c r="H1707" s="3" t="s">
        <v>7</v>
      </c>
      <c r="I1707" s="6" t="s">
        <v>8</v>
      </c>
      <c r="J1707" s="2" t="s">
        <v>9</v>
      </c>
      <c r="K1707" s="3" t="s">
        <v>10</v>
      </c>
      <c r="L1707" s="2" t="s">
        <v>9</v>
      </c>
    </row>
    <row r="1708" spans="1:12" x14ac:dyDescent="0.25">
      <c r="A1708" s="4">
        <v>45849</v>
      </c>
      <c r="B1708" t="s">
        <v>773</v>
      </c>
      <c r="C1708" t="s">
        <v>774</v>
      </c>
      <c r="D1708" t="s">
        <v>53</v>
      </c>
      <c r="E1708">
        <v>2015</v>
      </c>
      <c r="F1708" s="5">
        <v>80620</v>
      </c>
      <c r="G1708" t="s">
        <v>775</v>
      </c>
      <c r="H1708">
        <v>3007624064</v>
      </c>
      <c r="I1708" s="7" t="s">
        <v>16</v>
      </c>
      <c r="J1708" s="5">
        <v>270000</v>
      </c>
    </row>
    <row r="1709" spans="1:12" x14ac:dyDescent="0.25">
      <c r="I1709" s="7" t="s">
        <v>390</v>
      </c>
      <c r="J1709" s="5">
        <v>100000</v>
      </c>
    </row>
    <row r="1710" spans="1:12" x14ac:dyDescent="0.25">
      <c r="I1710" s="7" t="s">
        <v>776</v>
      </c>
      <c r="J1710" s="5">
        <v>20000</v>
      </c>
    </row>
    <row r="1711" spans="1:12" x14ac:dyDescent="0.25">
      <c r="I1711" s="7" t="s">
        <v>70</v>
      </c>
      <c r="J1711" s="5">
        <v>48000</v>
      </c>
    </row>
    <row r="1712" spans="1:12" x14ac:dyDescent="0.25">
      <c r="I1712" s="7" t="s">
        <v>18</v>
      </c>
      <c r="J1712" s="5">
        <v>25000</v>
      </c>
    </row>
    <row r="1714" spans="1:12" x14ac:dyDescent="0.25">
      <c r="I1714" s="7" t="s">
        <v>20</v>
      </c>
      <c r="J1714" s="5">
        <f>SUM(J1708:J1713)</f>
        <v>463000</v>
      </c>
    </row>
    <row r="1716" spans="1:12" x14ac:dyDescent="0.25">
      <c r="A1716" s="1" t="s">
        <v>0</v>
      </c>
      <c r="B1716" s="1" t="s">
        <v>1</v>
      </c>
      <c r="C1716" s="1" t="s">
        <v>2</v>
      </c>
      <c r="D1716" s="1" t="s">
        <v>3</v>
      </c>
      <c r="E1716" s="1" t="s">
        <v>4</v>
      </c>
      <c r="F1716" s="2" t="s">
        <v>5</v>
      </c>
      <c r="G1716" s="3" t="s">
        <v>6</v>
      </c>
      <c r="H1716" s="3" t="s">
        <v>7</v>
      </c>
      <c r="I1716" s="6" t="s">
        <v>8</v>
      </c>
      <c r="J1716" s="2" t="s">
        <v>9</v>
      </c>
      <c r="K1716" s="3" t="s">
        <v>10</v>
      </c>
      <c r="L1716" s="2" t="s">
        <v>9</v>
      </c>
    </row>
    <row r="1717" spans="1:12" x14ac:dyDescent="0.25">
      <c r="A1717" s="4">
        <v>45849</v>
      </c>
      <c r="B1717" t="s">
        <v>110</v>
      </c>
      <c r="C1717" t="s">
        <v>731</v>
      </c>
      <c r="D1717" t="s">
        <v>29</v>
      </c>
      <c r="G1717" t="s">
        <v>732</v>
      </c>
      <c r="H1717">
        <v>3246818639</v>
      </c>
      <c r="I1717" s="7" t="s">
        <v>16</v>
      </c>
      <c r="J1717" s="5">
        <v>270000</v>
      </c>
    </row>
    <row r="1718" spans="1:12" x14ac:dyDescent="0.25">
      <c r="I1718" s="7" t="s">
        <v>733</v>
      </c>
      <c r="J1718" s="5">
        <v>25000</v>
      </c>
    </row>
    <row r="1719" spans="1:12" x14ac:dyDescent="0.25">
      <c r="I1719" s="7" t="s">
        <v>77</v>
      </c>
      <c r="J1719" s="5">
        <v>22000</v>
      </c>
    </row>
    <row r="1720" spans="1:12" x14ac:dyDescent="0.25">
      <c r="I1720" s="7" t="s">
        <v>734</v>
      </c>
      <c r="J1720" s="5">
        <v>20000</v>
      </c>
    </row>
    <row r="1722" spans="1:12" x14ac:dyDescent="0.25">
      <c r="I1722" s="7" t="s">
        <v>20</v>
      </c>
      <c r="J1722" s="5">
        <f>SUM(J1717:J1721)</f>
        <v>337000</v>
      </c>
    </row>
    <row r="1724" spans="1:12" x14ac:dyDescent="0.25">
      <c r="A1724" s="1" t="s">
        <v>0</v>
      </c>
      <c r="B1724" s="1" t="s">
        <v>1</v>
      </c>
      <c r="C1724" s="1" t="s">
        <v>2</v>
      </c>
      <c r="D1724" s="1" t="s">
        <v>3</v>
      </c>
      <c r="E1724" s="1" t="s">
        <v>4</v>
      </c>
      <c r="F1724" s="2" t="s">
        <v>5</v>
      </c>
      <c r="G1724" s="3" t="s">
        <v>6</v>
      </c>
      <c r="H1724" s="3" t="s">
        <v>7</v>
      </c>
      <c r="I1724" s="6" t="s">
        <v>8</v>
      </c>
      <c r="J1724" s="2" t="s">
        <v>9</v>
      </c>
      <c r="K1724" s="3" t="s">
        <v>10</v>
      </c>
      <c r="L1724" s="2" t="s">
        <v>9</v>
      </c>
    </row>
    <row r="1725" spans="1:12" x14ac:dyDescent="0.25">
      <c r="A1725" s="4">
        <v>45850</v>
      </c>
      <c r="B1725" t="s">
        <v>21</v>
      </c>
      <c r="C1725" t="s">
        <v>760</v>
      </c>
      <c r="D1725" t="s">
        <v>23</v>
      </c>
      <c r="E1725">
        <v>2017</v>
      </c>
      <c r="F1725" s="5">
        <v>63406</v>
      </c>
      <c r="G1725" t="s">
        <v>761</v>
      </c>
      <c r="I1725" s="7" t="s">
        <v>16</v>
      </c>
      <c r="J1725" s="5">
        <v>390000</v>
      </c>
    </row>
    <row r="1726" spans="1:12" x14ac:dyDescent="0.25">
      <c r="I1726" s="7" t="s">
        <v>88</v>
      </c>
      <c r="J1726" s="5">
        <v>305000</v>
      </c>
    </row>
    <row r="1727" spans="1:12" x14ac:dyDescent="0.25">
      <c r="I1727" s="7" t="s">
        <v>150</v>
      </c>
      <c r="J1727" s="5">
        <v>150000</v>
      </c>
    </row>
    <row r="1728" spans="1:12" x14ac:dyDescent="0.25">
      <c r="I1728" s="7" t="s">
        <v>77</v>
      </c>
      <c r="J1728" s="5">
        <v>22000</v>
      </c>
    </row>
    <row r="1729" spans="1:12" x14ac:dyDescent="0.25">
      <c r="I1729" s="7" t="s">
        <v>108</v>
      </c>
      <c r="J1729" s="5">
        <v>150000</v>
      </c>
    </row>
    <row r="1730" spans="1:12" x14ac:dyDescent="0.25">
      <c r="I1730" s="7" t="s">
        <v>142</v>
      </c>
      <c r="J1730" s="5">
        <v>180000</v>
      </c>
    </row>
    <row r="1731" spans="1:12" x14ac:dyDescent="0.25">
      <c r="I1731" s="7" t="s">
        <v>762</v>
      </c>
      <c r="J1731" s="5">
        <v>180000</v>
      </c>
    </row>
    <row r="1732" spans="1:12" x14ac:dyDescent="0.25">
      <c r="I1732" s="7" t="s">
        <v>169</v>
      </c>
      <c r="J1732" s="5">
        <v>40000</v>
      </c>
    </row>
    <row r="1733" spans="1:12" x14ac:dyDescent="0.25">
      <c r="I1733" s="7" t="s">
        <v>310</v>
      </c>
      <c r="J1733" s="5">
        <v>94000</v>
      </c>
    </row>
    <row r="1734" spans="1:12" x14ac:dyDescent="0.25">
      <c r="I1734" s="7" t="s">
        <v>763</v>
      </c>
      <c r="J1734" s="5">
        <v>105000</v>
      </c>
    </row>
    <row r="1735" spans="1:12" x14ac:dyDescent="0.25">
      <c r="I1735" s="7" t="s">
        <v>26</v>
      </c>
      <c r="J1735" s="5">
        <v>80000</v>
      </c>
    </row>
    <row r="1736" spans="1:12" x14ac:dyDescent="0.25">
      <c r="I1736" s="7" t="s">
        <v>303</v>
      </c>
      <c r="J1736" s="5">
        <v>25000</v>
      </c>
    </row>
    <row r="1737" spans="1:12" x14ac:dyDescent="0.25">
      <c r="I1737" s="7" t="s">
        <v>318</v>
      </c>
      <c r="J1737" s="5">
        <v>120000</v>
      </c>
    </row>
    <row r="1738" spans="1:12" x14ac:dyDescent="0.25">
      <c r="I1738" s="7" t="s">
        <v>17</v>
      </c>
      <c r="J1738" s="5">
        <v>192000</v>
      </c>
    </row>
    <row r="1739" spans="1:12" x14ac:dyDescent="0.25">
      <c r="I1739" s="7" t="s">
        <v>18</v>
      </c>
      <c r="J1739" s="5">
        <v>46000</v>
      </c>
    </row>
    <row r="1740" spans="1:12" x14ac:dyDescent="0.25">
      <c r="I1740" s="7" t="s">
        <v>764</v>
      </c>
      <c r="J1740" s="5">
        <v>80000</v>
      </c>
    </row>
    <row r="1742" spans="1:12" x14ac:dyDescent="0.25">
      <c r="I1742" s="7" t="s">
        <v>20</v>
      </c>
      <c r="J1742" s="5">
        <f>SUM(J1725:J1741)</f>
        <v>2159000</v>
      </c>
    </row>
    <row r="1744" spans="1:12" x14ac:dyDescent="0.25">
      <c r="A1744" s="1" t="s">
        <v>0</v>
      </c>
      <c r="B1744" s="1" t="s">
        <v>1</v>
      </c>
      <c r="C1744" s="1" t="s">
        <v>2</v>
      </c>
      <c r="D1744" s="1" t="s">
        <v>3</v>
      </c>
      <c r="E1744" s="1" t="s">
        <v>4</v>
      </c>
      <c r="F1744" s="2" t="s">
        <v>5</v>
      </c>
      <c r="G1744" s="3" t="s">
        <v>6</v>
      </c>
      <c r="H1744" s="3" t="s">
        <v>7</v>
      </c>
      <c r="I1744" s="6" t="s">
        <v>8</v>
      </c>
      <c r="J1744" s="2" t="s">
        <v>9</v>
      </c>
      <c r="K1744" s="3" t="s">
        <v>10</v>
      </c>
      <c r="L1744" s="2" t="s">
        <v>9</v>
      </c>
    </row>
    <row r="1745" spans="1:12" x14ac:dyDescent="0.25">
      <c r="A1745" s="4">
        <v>45850</v>
      </c>
      <c r="B1745" t="s">
        <v>94</v>
      </c>
      <c r="C1745" t="s">
        <v>795</v>
      </c>
      <c r="E1745">
        <v>2025</v>
      </c>
      <c r="F1745" s="5">
        <v>3229</v>
      </c>
      <c r="G1745" t="s">
        <v>796</v>
      </c>
      <c r="H1745">
        <v>3193645071</v>
      </c>
      <c r="I1745" s="7" t="s">
        <v>531</v>
      </c>
      <c r="J1745" s="5">
        <v>48000</v>
      </c>
    </row>
    <row r="1746" spans="1:12" x14ac:dyDescent="0.25">
      <c r="I1746" s="7" t="s">
        <v>18</v>
      </c>
      <c r="J1746" s="5">
        <v>18000</v>
      </c>
    </row>
    <row r="1747" spans="1:12" x14ac:dyDescent="0.25">
      <c r="I1747" s="7" t="s">
        <v>77</v>
      </c>
      <c r="J1747" s="5">
        <v>22000</v>
      </c>
    </row>
    <row r="1749" spans="1:12" x14ac:dyDescent="0.25">
      <c r="I1749" s="7" t="s">
        <v>20</v>
      </c>
      <c r="J1749" s="5">
        <f>SUM(J1745:J1748)</f>
        <v>88000</v>
      </c>
    </row>
    <row r="1751" spans="1:12" x14ac:dyDescent="0.25">
      <c r="A1751" s="1" t="s">
        <v>0</v>
      </c>
      <c r="B1751" s="1" t="s">
        <v>1</v>
      </c>
      <c r="C1751" s="1" t="s">
        <v>2</v>
      </c>
      <c r="D1751" s="1" t="s">
        <v>3</v>
      </c>
      <c r="E1751" s="1" t="s">
        <v>4</v>
      </c>
      <c r="F1751" s="2" t="s">
        <v>5</v>
      </c>
      <c r="G1751" s="3" t="s">
        <v>6</v>
      </c>
      <c r="H1751" s="3" t="s">
        <v>7</v>
      </c>
      <c r="I1751" s="6" t="s">
        <v>8</v>
      </c>
      <c r="J1751" s="2" t="s">
        <v>9</v>
      </c>
      <c r="K1751" s="3" t="s">
        <v>10</v>
      </c>
      <c r="L1751" s="2" t="s">
        <v>9</v>
      </c>
    </row>
    <row r="1752" spans="1:12" x14ac:dyDescent="0.25">
      <c r="A1752" s="4">
        <v>45850</v>
      </c>
      <c r="B1752" t="s">
        <v>797</v>
      </c>
      <c r="C1752" t="s">
        <v>798</v>
      </c>
      <c r="D1752" t="s">
        <v>153</v>
      </c>
      <c r="F1752" s="5">
        <v>32477</v>
      </c>
      <c r="G1752" t="s">
        <v>799</v>
      </c>
      <c r="I1752" s="7" t="s">
        <v>17</v>
      </c>
      <c r="J1752" s="5">
        <v>50000</v>
      </c>
    </row>
    <row r="1754" spans="1:12" x14ac:dyDescent="0.25">
      <c r="I1754" s="7" t="s">
        <v>20</v>
      </c>
      <c r="J1754" s="5">
        <v>50000</v>
      </c>
    </row>
    <row r="1756" spans="1:12" x14ac:dyDescent="0.25">
      <c r="A1756" s="1" t="s">
        <v>0</v>
      </c>
      <c r="B1756" s="1" t="s">
        <v>1</v>
      </c>
      <c r="C1756" s="1" t="s">
        <v>2</v>
      </c>
      <c r="D1756" s="1" t="s">
        <v>3</v>
      </c>
      <c r="E1756" s="1" t="s">
        <v>4</v>
      </c>
      <c r="F1756" s="2" t="s">
        <v>5</v>
      </c>
      <c r="G1756" s="3" t="s">
        <v>6</v>
      </c>
      <c r="H1756" s="3" t="s">
        <v>7</v>
      </c>
      <c r="I1756" s="6" t="s">
        <v>8</v>
      </c>
      <c r="J1756" s="2" t="s">
        <v>9</v>
      </c>
      <c r="K1756" s="3" t="s">
        <v>10</v>
      </c>
      <c r="L1756" s="2" t="s">
        <v>9</v>
      </c>
    </row>
    <row r="1757" spans="1:12" x14ac:dyDescent="0.25">
      <c r="A1757" s="4">
        <v>45850</v>
      </c>
      <c r="B1757" t="s">
        <v>110</v>
      </c>
      <c r="C1757" t="s">
        <v>621</v>
      </c>
      <c r="D1757" t="s">
        <v>29</v>
      </c>
      <c r="F1757" s="5">
        <v>45285</v>
      </c>
      <c r="G1757" t="s">
        <v>870</v>
      </c>
      <c r="I1757" s="7" t="s">
        <v>17</v>
      </c>
      <c r="J1757" s="5">
        <v>58000</v>
      </c>
    </row>
    <row r="1758" spans="1:12" x14ac:dyDescent="0.25">
      <c r="I1758" s="7" t="s">
        <v>800</v>
      </c>
      <c r="J1758" s="5">
        <v>18000</v>
      </c>
    </row>
    <row r="1759" spans="1:12" x14ac:dyDescent="0.25">
      <c r="I1759" s="7" t="s">
        <v>100</v>
      </c>
      <c r="J1759" s="5">
        <v>15000</v>
      </c>
    </row>
    <row r="1761" spans="1:12" x14ac:dyDescent="0.25">
      <c r="I1761" s="7" t="s">
        <v>20</v>
      </c>
      <c r="J1761" s="5">
        <f>SUM(J1757:J1760)</f>
        <v>91000</v>
      </c>
    </row>
    <row r="1763" spans="1:12" x14ac:dyDescent="0.25">
      <c r="A1763" s="1" t="s">
        <v>0</v>
      </c>
      <c r="B1763" s="1" t="s">
        <v>1</v>
      </c>
      <c r="C1763" s="1" t="s">
        <v>2</v>
      </c>
      <c r="D1763" s="1" t="s">
        <v>3</v>
      </c>
      <c r="E1763" s="1" t="s">
        <v>4</v>
      </c>
      <c r="F1763" s="2" t="s">
        <v>5</v>
      </c>
      <c r="G1763" s="3" t="s">
        <v>6</v>
      </c>
      <c r="H1763" s="3" t="s">
        <v>7</v>
      </c>
      <c r="I1763" s="6" t="s">
        <v>8</v>
      </c>
      <c r="J1763" s="2" t="s">
        <v>9</v>
      </c>
      <c r="K1763" s="3" t="s">
        <v>10</v>
      </c>
      <c r="L1763" s="2" t="s">
        <v>9</v>
      </c>
    </row>
    <row r="1764" spans="1:12" x14ac:dyDescent="0.25">
      <c r="A1764" s="4">
        <v>45850</v>
      </c>
      <c r="B1764" t="s">
        <v>21</v>
      </c>
      <c r="C1764" t="s">
        <v>777</v>
      </c>
      <c r="D1764" t="s">
        <v>153</v>
      </c>
      <c r="F1764" s="5">
        <v>52654</v>
      </c>
      <c r="I1764" s="7" t="s">
        <v>17</v>
      </c>
      <c r="J1764" s="5">
        <v>324000</v>
      </c>
    </row>
    <row r="1765" spans="1:12" x14ac:dyDescent="0.25">
      <c r="C1765" t="s">
        <v>778</v>
      </c>
      <c r="I1765" s="7" t="s">
        <v>18</v>
      </c>
      <c r="J1765" s="5">
        <v>46000</v>
      </c>
    </row>
    <row r="1766" spans="1:12" x14ac:dyDescent="0.25">
      <c r="I1766" s="7" t="s">
        <v>100</v>
      </c>
      <c r="J1766" s="5">
        <v>40000</v>
      </c>
    </row>
    <row r="1767" spans="1:12" x14ac:dyDescent="0.25">
      <c r="I1767" s="7" t="s">
        <v>718</v>
      </c>
      <c r="J1767" s="5">
        <v>40000</v>
      </c>
    </row>
    <row r="1768" spans="1:12" x14ac:dyDescent="0.25">
      <c r="I1768" s="7" t="s">
        <v>150</v>
      </c>
      <c r="J1768" s="5">
        <v>750000</v>
      </c>
    </row>
    <row r="1769" spans="1:12" x14ac:dyDescent="0.25">
      <c r="I1769" s="7" t="s">
        <v>77</v>
      </c>
      <c r="J1769" s="5">
        <v>22000</v>
      </c>
    </row>
    <row r="1771" spans="1:12" x14ac:dyDescent="0.25">
      <c r="I1771" s="7" t="s">
        <v>20</v>
      </c>
      <c r="J1771" s="5">
        <f>SUM(J1764:J1770)</f>
        <v>1222000</v>
      </c>
    </row>
    <row r="1773" spans="1:12" x14ac:dyDescent="0.25">
      <c r="A1773" s="1" t="s">
        <v>0</v>
      </c>
      <c r="B1773" s="1" t="s">
        <v>1</v>
      </c>
      <c r="C1773" s="1" t="s">
        <v>2</v>
      </c>
      <c r="D1773" s="1" t="s">
        <v>3</v>
      </c>
      <c r="E1773" s="1" t="s">
        <v>4</v>
      </c>
      <c r="F1773" s="2" t="s">
        <v>5</v>
      </c>
      <c r="G1773" s="3" t="s">
        <v>6</v>
      </c>
      <c r="H1773" s="3" t="s">
        <v>7</v>
      </c>
      <c r="I1773" s="6" t="s">
        <v>8</v>
      </c>
      <c r="J1773" s="2" t="s">
        <v>9</v>
      </c>
      <c r="K1773" s="3" t="s">
        <v>10</v>
      </c>
      <c r="L1773" s="2" t="s">
        <v>9</v>
      </c>
    </row>
    <row r="1774" spans="1:12" x14ac:dyDescent="0.25">
      <c r="A1774" s="4">
        <v>45852</v>
      </c>
      <c r="B1774" t="s">
        <v>292</v>
      </c>
      <c r="C1774" t="s">
        <v>779</v>
      </c>
      <c r="D1774" t="s">
        <v>29</v>
      </c>
      <c r="G1774" t="s">
        <v>780</v>
      </c>
      <c r="I1774" s="7" t="s">
        <v>781</v>
      </c>
      <c r="J1774" s="5">
        <v>120000</v>
      </c>
    </row>
    <row r="1775" spans="1:12" x14ac:dyDescent="0.25">
      <c r="I1775" s="7" t="s">
        <v>782</v>
      </c>
      <c r="J1775" s="5">
        <v>60000</v>
      </c>
    </row>
    <row r="1776" spans="1:12" x14ac:dyDescent="0.25">
      <c r="I1776" s="7" t="s">
        <v>783</v>
      </c>
      <c r="J1776" s="5">
        <v>100000</v>
      </c>
    </row>
    <row r="1777" spans="1:12" x14ac:dyDescent="0.25">
      <c r="I1777" s="7" t="s">
        <v>77</v>
      </c>
      <c r="J1777" s="5">
        <v>22000</v>
      </c>
    </row>
    <row r="1778" spans="1:12" x14ac:dyDescent="0.25">
      <c r="I1778" s="7" t="s">
        <v>26</v>
      </c>
      <c r="J1778" s="5">
        <v>120000</v>
      </c>
    </row>
    <row r="1780" spans="1:12" x14ac:dyDescent="0.25">
      <c r="I1780" s="7" t="s">
        <v>20</v>
      </c>
      <c r="J1780" s="5">
        <f>SUM(J1774:J1779)</f>
        <v>422000</v>
      </c>
    </row>
    <row r="1782" spans="1:12" x14ac:dyDescent="0.25">
      <c r="A1782" s="1" t="s">
        <v>0</v>
      </c>
      <c r="B1782" s="1" t="s">
        <v>1</v>
      </c>
      <c r="C1782" s="1" t="s">
        <v>2</v>
      </c>
      <c r="D1782" s="1" t="s">
        <v>3</v>
      </c>
      <c r="E1782" s="1" t="s">
        <v>4</v>
      </c>
      <c r="F1782" s="2" t="s">
        <v>5</v>
      </c>
      <c r="G1782" s="3" t="s">
        <v>6</v>
      </c>
      <c r="H1782" s="3" t="s">
        <v>7</v>
      </c>
      <c r="I1782" s="6" t="s">
        <v>8</v>
      </c>
      <c r="J1782" s="2" t="s">
        <v>9</v>
      </c>
      <c r="K1782" s="3" t="s">
        <v>10</v>
      </c>
      <c r="L1782" s="2" t="s">
        <v>9</v>
      </c>
    </row>
    <row r="1783" spans="1:12" x14ac:dyDescent="0.25">
      <c r="A1783" s="4">
        <v>45853</v>
      </c>
      <c r="B1783" t="s">
        <v>393</v>
      </c>
      <c r="C1783" t="s">
        <v>801</v>
      </c>
      <c r="D1783" t="s">
        <v>29</v>
      </c>
      <c r="F1783" s="5">
        <v>132799</v>
      </c>
      <c r="I1783" s="7" t="s">
        <v>803</v>
      </c>
      <c r="J1783" s="5">
        <v>380000</v>
      </c>
    </row>
    <row r="1784" spans="1:12" x14ac:dyDescent="0.25">
      <c r="C1784" t="s">
        <v>802</v>
      </c>
      <c r="I1784" s="7" t="s">
        <v>100</v>
      </c>
      <c r="J1784" s="5">
        <v>80000</v>
      </c>
    </row>
    <row r="1785" spans="1:12" x14ac:dyDescent="0.25">
      <c r="I1785" s="7" t="s">
        <v>77</v>
      </c>
      <c r="J1785" s="5">
        <v>22000</v>
      </c>
    </row>
    <row r="1787" spans="1:12" x14ac:dyDescent="0.25">
      <c r="I1787" s="7" t="s">
        <v>20</v>
      </c>
      <c r="J1787" s="5">
        <f>SUM(J1783:J1786)</f>
        <v>482000</v>
      </c>
    </row>
    <row r="1789" spans="1:12" x14ac:dyDescent="0.25">
      <c r="A1789" s="1" t="s">
        <v>0</v>
      </c>
      <c r="B1789" s="1" t="s">
        <v>1</v>
      </c>
      <c r="C1789" s="1" t="s">
        <v>2</v>
      </c>
      <c r="D1789" s="1" t="s">
        <v>3</v>
      </c>
      <c r="E1789" s="1" t="s">
        <v>4</v>
      </c>
      <c r="F1789" s="2" t="s">
        <v>5</v>
      </c>
      <c r="G1789" s="3" t="s">
        <v>6</v>
      </c>
      <c r="H1789" s="3" t="s">
        <v>7</v>
      </c>
      <c r="I1789" s="6" t="s">
        <v>8</v>
      </c>
      <c r="J1789" s="2" t="s">
        <v>9</v>
      </c>
      <c r="K1789" s="3" t="s">
        <v>10</v>
      </c>
      <c r="L1789" s="2" t="s">
        <v>9</v>
      </c>
    </row>
    <row r="1790" spans="1:12" x14ac:dyDescent="0.25">
      <c r="A1790" s="4">
        <v>45853</v>
      </c>
      <c r="B1790" t="s">
        <v>804</v>
      </c>
      <c r="C1790" t="s">
        <v>805</v>
      </c>
      <c r="F1790" s="5">
        <v>39604</v>
      </c>
      <c r="I1790" s="7" t="s">
        <v>17</v>
      </c>
      <c r="J1790" s="5">
        <v>30000</v>
      </c>
    </row>
    <row r="1791" spans="1:12" x14ac:dyDescent="0.25">
      <c r="I1791" s="7" t="s">
        <v>18</v>
      </c>
      <c r="J1791" s="5">
        <v>46000</v>
      </c>
    </row>
    <row r="1792" spans="1:12" x14ac:dyDescent="0.25">
      <c r="I1792" s="7" t="s">
        <v>70</v>
      </c>
      <c r="J1792" s="5">
        <v>15000</v>
      </c>
    </row>
    <row r="1793" spans="1:12" x14ac:dyDescent="0.25">
      <c r="I1793" s="7" t="s">
        <v>806</v>
      </c>
      <c r="J1793" s="5">
        <v>120000</v>
      </c>
    </row>
    <row r="1794" spans="1:12" x14ac:dyDescent="0.25">
      <c r="I1794" s="7" t="s">
        <v>807</v>
      </c>
      <c r="J1794" s="5">
        <v>30000</v>
      </c>
    </row>
    <row r="1796" spans="1:12" x14ac:dyDescent="0.25">
      <c r="I1796" s="7" t="s">
        <v>20</v>
      </c>
      <c r="J1796" s="5">
        <f>SUM(J1790:J1795)</f>
        <v>241000</v>
      </c>
    </row>
    <row r="1798" spans="1:12" x14ac:dyDescent="0.25">
      <c r="A1798" s="1" t="s">
        <v>0</v>
      </c>
      <c r="B1798" s="1" t="s">
        <v>1</v>
      </c>
      <c r="C1798" s="1" t="s">
        <v>2</v>
      </c>
      <c r="D1798" s="1" t="s">
        <v>3</v>
      </c>
      <c r="E1798" s="1" t="s">
        <v>4</v>
      </c>
      <c r="F1798" s="2" t="s">
        <v>5</v>
      </c>
      <c r="G1798" s="3" t="s">
        <v>6</v>
      </c>
      <c r="H1798" s="3" t="s">
        <v>7</v>
      </c>
      <c r="I1798" s="6" t="s">
        <v>8</v>
      </c>
      <c r="J1798" s="2" t="s">
        <v>9</v>
      </c>
      <c r="K1798" s="3" t="s">
        <v>10</v>
      </c>
      <c r="L1798" s="2" t="s">
        <v>9</v>
      </c>
    </row>
    <row r="1799" spans="1:12" x14ac:dyDescent="0.25">
      <c r="A1799" s="4">
        <v>45853</v>
      </c>
      <c r="B1799" t="s">
        <v>21</v>
      </c>
      <c r="C1799" t="s">
        <v>263</v>
      </c>
      <c r="D1799" t="s">
        <v>153</v>
      </c>
      <c r="E1799">
        <v>2011</v>
      </c>
      <c r="F1799" s="5">
        <v>80504</v>
      </c>
      <c r="G1799" t="s">
        <v>808</v>
      </c>
      <c r="I1799" s="7" t="s">
        <v>809</v>
      </c>
      <c r="J1799" s="5">
        <v>280000</v>
      </c>
    </row>
    <row r="1800" spans="1:12" x14ac:dyDescent="0.25">
      <c r="I1800" s="7" t="s">
        <v>48</v>
      </c>
      <c r="J1800" s="5">
        <v>120000</v>
      </c>
    </row>
    <row r="1801" spans="1:12" x14ac:dyDescent="0.25">
      <c r="I1801" s="7" t="s">
        <v>100</v>
      </c>
      <c r="J1801" s="5">
        <v>40000</v>
      </c>
    </row>
    <row r="1802" spans="1:12" x14ac:dyDescent="0.25">
      <c r="I1802" s="7" t="s">
        <v>810</v>
      </c>
      <c r="J1802" s="5">
        <v>10000</v>
      </c>
    </row>
    <row r="1804" spans="1:12" x14ac:dyDescent="0.25">
      <c r="I1804" s="7" t="s">
        <v>20</v>
      </c>
      <c r="J1804" s="5">
        <f>SUM(J1799:J1803)</f>
        <v>450000</v>
      </c>
    </row>
    <row r="1806" spans="1:12" x14ac:dyDescent="0.25">
      <c r="A1806" s="1" t="s">
        <v>0</v>
      </c>
      <c r="B1806" s="1" t="s">
        <v>1</v>
      </c>
      <c r="C1806" s="1" t="s">
        <v>2</v>
      </c>
      <c r="D1806" s="1" t="s">
        <v>3</v>
      </c>
      <c r="E1806" s="1" t="s">
        <v>4</v>
      </c>
      <c r="F1806" s="2" t="s">
        <v>5</v>
      </c>
      <c r="G1806" s="3" t="s">
        <v>6</v>
      </c>
      <c r="H1806" s="3" t="s">
        <v>7</v>
      </c>
      <c r="I1806" s="6" t="s">
        <v>8</v>
      </c>
      <c r="J1806" s="2" t="s">
        <v>9</v>
      </c>
      <c r="K1806" s="3" t="s">
        <v>10</v>
      </c>
      <c r="L1806" s="2" t="s">
        <v>9</v>
      </c>
    </row>
    <row r="1807" spans="1:12" x14ac:dyDescent="0.25">
      <c r="A1807" s="4">
        <v>45853</v>
      </c>
      <c r="B1807" t="s">
        <v>11</v>
      </c>
      <c r="C1807" t="s">
        <v>811</v>
      </c>
      <c r="D1807" t="s">
        <v>53</v>
      </c>
      <c r="E1807">
        <v>2018</v>
      </c>
      <c r="F1807" s="5">
        <v>45870</v>
      </c>
      <c r="G1807" t="s">
        <v>812</v>
      </c>
      <c r="H1807">
        <v>3214704262</v>
      </c>
      <c r="I1807" s="7" t="s">
        <v>16</v>
      </c>
      <c r="J1807" s="5">
        <v>320000</v>
      </c>
    </row>
    <row r="1808" spans="1:12" x14ac:dyDescent="0.25">
      <c r="A1808" s="4"/>
      <c r="I1808" s="7" t="s">
        <v>527</v>
      </c>
      <c r="J1808" s="5">
        <v>10000</v>
      </c>
    </row>
    <row r="1809" spans="1:12" x14ac:dyDescent="0.25">
      <c r="I1809" s="7" t="s">
        <v>813</v>
      </c>
      <c r="J1809" s="5">
        <v>60000</v>
      </c>
    </row>
    <row r="1810" spans="1:12" x14ac:dyDescent="0.25">
      <c r="I1810" s="7" t="s">
        <v>77</v>
      </c>
      <c r="J1810" s="5">
        <v>22000</v>
      </c>
    </row>
    <row r="1812" spans="1:12" x14ac:dyDescent="0.25">
      <c r="I1812" s="7" t="s">
        <v>20</v>
      </c>
      <c r="J1812" s="5">
        <f>SUM(J1807:J1811)</f>
        <v>412000</v>
      </c>
    </row>
    <row r="1814" spans="1:12" x14ac:dyDescent="0.25">
      <c r="A1814" s="1" t="s">
        <v>0</v>
      </c>
      <c r="B1814" s="1" t="s">
        <v>1</v>
      </c>
      <c r="C1814" s="1" t="s">
        <v>2</v>
      </c>
      <c r="D1814" s="1" t="s">
        <v>3</v>
      </c>
      <c r="E1814" s="1" t="s">
        <v>4</v>
      </c>
      <c r="F1814" s="2" t="s">
        <v>5</v>
      </c>
      <c r="G1814" s="3" t="s">
        <v>6</v>
      </c>
      <c r="H1814" s="3" t="s">
        <v>7</v>
      </c>
      <c r="I1814" s="6" t="s">
        <v>8</v>
      </c>
      <c r="J1814" s="2" t="s">
        <v>9</v>
      </c>
      <c r="K1814" s="3" t="s">
        <v>10</v>
      </c>
      <c r="L1814" s="2" t="s">
        <v>9</v>
      </c>
    </row>
    <row r="1815" spans="1:12" x14ac:dyDescent="0.25">
      <c r="A1815" s="4">
        <v>45853</v>
      </c>
      <c r="B1815" t="s">
        <v>89</v>
      </c>
      <c r="C1815" t="s">
        <v>352</v>
      </c>
      <c r="I1815" s="7" t="s">
        <v>16</v>
      </c>
      <c r="J1815" s="5">
        <v>420000</v>
      </c>
    </row>
    <row r="1816" spans="1:12" x14ac:dyDescent="0.25">
      <c r="I1816" s="7" t="s">
        <v>17</v>
      </c>
      <c r="J1816" s="5">
        <v>168000</v>
      </c>
    </row>
    <row r="1817" spans="1:12" x14ac:dyDescent="0.25">
      <c r="I1817" s="7" t="s">
        <v>18</v>
      </c>
      <c r="J1817" s="5">
        <v>64000</v>
      </c>
    </row>
    <row r="1818" spans="1:12" x14ac:dyDescent="0.25">
      <c r="I1818" s="7" t="s">
        <v>814</v>
      </c>
      <c r="J1818" s="5">
        <v>150000</v>
      </c>
    </row>
    <row r="1819" spans="1:12" x14ac:dyDescent="0.25">
      <c r="I1819" s="7" t="s">
        <v>150</v>
      </c>
      <c r="J1819" s="5">
        <v>140000</v>
      </c>
    </row>
    <row r="1820" spans="1:12" x14ac:dyDescent="0.25">
      <c r="I1820" s="7" t="s">
        <v>815</v>
      </c>
      <c r="J1820" s="5">
        <v>240000</v>
      </c>
    </row>
    <row r="1821" spans="1:12" x14ac:dyDescent="0.25">
      <c r="I1821" s="7" t="s">
        <v>816</v>
      </c>
      <c r="J1821" s="5">
        <v>65000</v>
      </c>
    </row>
    <row r="1822" spans="1:12" x14ac:dyDescent="0.25">
      <c r="I1822" s="7" t="s">
        <v>26</v>
      </c>
      <c r="J1822" s="5">
        <v>90000</v>
      </c>
    </row>
    <row r="1823" spans="1:12" x14ac:dyDescent="0.25">
      <c r="I1823" s="7" t="s">
        <v>77</v>
      </c>
      <c r="J1823" s="5">
        <v>22000</v>
      </c>
    </row>
    <row r="1824" spans="1:12" x14ac:dyDescent="0.25">
      <c r="I1824" s="7" t="s">
        <v>817</v>
      </c>
      <c r="J1824" s="5">
        <v>48000</v>
      </c>
    </row>
    <row r="1825" spans="1:12" x14ac:dyDescent="0.25">
      <c r="I1825" s="7" t="s">
        <v>18</v>
      </c>
      <c r="J1825" s="5">
        <v>18000</v>
      </c>
    </row>
    <row r="1826" spans="1:12" x14ac:dyDescent="0.25">
      <c r="I1826" s="7" t="s">
        <v>100</v>
      </c>
      <c r="J1826" s="5">
        <v>30000</v>
      </c>
    </row>
    <row r="1827" spans="1:12" x14ac:dyDescent="0.25">
      <c r="I1827" s="7" t="s">
        <v>48</v>
      </c>
      <c r="J1827" s="5">
        <v>45000</v>
      </c>
    </row>
    <row r="1829" spans="1:12" x14ac:dyDescent="0.25">
      <c r="I1829" s="7" t="s">
        <v>20</v>
      </c>
      <c r="J1829" s="5">
        <f>SUM(J1815:J1828)</f>
        <v>1500000</v>
      </c>
    </row>
    <row r="1831" spans="1:12" x14ac:dyDescent="0.25">
      <c r="A1831" s="1" t="s">
        <v>0</v>
      </c>
      <c r="B1831" s="1" t="s">
        <v>1</v>
      </c>
      <c r="C1831" s="1" t="s">
        <v>2</v>
      </c>
      <c r="D1831" s="1" t="s">
        <v>3</v>
      </c>
      <c r="E1831" s="1" t="s">
        <v>4</v>
      </c>
      <c r="F1831" s="2" t="s">
        <v>5</v>
      </c>
      <c r="G1831" s="3" t="s">
        <v>6</v>
      </c>
      <c r="H1831" s="3" t="s">
        <v>7</v>
      </c>
      <c r="I1831" s="6" t="s">
        <v>8</v>
      </c>
      <c r="J1831" s="2" t="s">
        <v>9</v>
      </c>
      <c r="K1831" s="3" t="s">
        <v>10</v>
      </c>
      <c r="L1831" s="2" t="s">
        <v>9</v>
      </c>
    </row>
    <row r="1832" spans="1:12" x14ac:dyDescent="0.25">
      <c r="A1832" s="4">
        <v>45853</v>
      </c>
      <c r="B1832" t="s">
        <v>704</v>
      </c>
      <c r="C1832" t="s">
        <v>818</v>
      </c>
      <c r="D1832" t="s">
        <v>153</v>
      </c>
      <c r="F1832" s="5">
        <v>29061</v>
      </c>
      <c r="G1832" t="s">
        <v>819</v>
      </c>
      <c r="I1832" s="7" t="s">
        <v>303</v>
      </c>
      <c r="J1832" s="5">
        <v>20000</v>
      </c>
    </row>
    <row r="1833" spans="1:12" x14ac:dyDescent="0.25">
      <c r="I1833" s="7" t="s">
        <v>342</v>
      </c>
      <c r="J1833" s="5">
        <v>40000</v>
      </c>
    </row>
    <row r="1834" spans="1:12" x14ac:dyDescent="0.25">
      <c r="I1834" s="7" t="s">
        <v>112</v>
      </c>
      <c r="J1834" s="5">
        <v>6000</v>
      </c>
    </row>
    <row r="1836" spans="1:12" x14ac:dyDescent="0.25">
      <c r="I1836" s="7" t="s">
        <v>20</v>
      </c>
      <c r="J1836" s="5">
        <f>SUM(J1832:J1835)</f>
        <v>66000</v>
      </c>
    </row>
    <row r="1838" spans="1:12" x14ac:dyDescent="0.25">
      <c r="A1838" s="1" t="s">
        <v>0</v>
      </c>
      <c r="B1838" s="1" t="s">
        <v>1</v>
      </c>
      <c r="C1838" s="1" t="s">
        <v>2</v>
      </c>
      <c r="D1838" s="1" t="s">
        <v>3</v>
      </c>
      <c r="E1838" s="1" t="s">
        <v>4</v>
      </c>
      <c r="F1838" s="2" t="s">
        <v>5</v>
      </c>
      <c r="G1838" s="3" t="s">
        <v>6</v>
      </c>
      <c r="H1838" s="3" t="s">
        <v>7</v>
      </c>
      <c r="I1838" s="6" t="s">
        <v>8</v>
      </c>
      <c r="J1838" s="2" t="s">
        <v>9</v>
      </c>
      <c r="K1838" s="3" t="s">
        <v>10</v>
      </c>
      <c r="L1838" s="2" t="s">
        <v>9</v>
      </c>
    </row>
    <row r="1839" spans="1:12" x14ac:dyDescent="0.25">
      <c r="A1839" s="4">
        <v>45854</v>
      </c>
      <c r="B1839" t="s">
        <v>820</v>
      </c>
      <c r="C1839" t="s">
        <v>821</v>
      </c>
      <c r="D1839" t="s">
        <v>23</v>
      </c>
      <c r="F1839" s="5">
        <v>81124</v>
      </c>
      <c r="G1839" t="s">
        <v>822</v>
      </c>
      <c r="I1839" s="7" t="s">
        <v>17</v>
      </c>
      <c r="J1839" s="5">
        <v>192000</v>
      </c>
    </row>
    <row r="1840" spans="1:12" x14ac:dyDescent="0.25">
      <c r="I1840" s="7" t="s">
        <v>18</v>
      </c>
      <c r="J1840" s="5">
        <v>38000</v>
      </c>
    </row>
    <row r="1841" spans="1:12" x14ac:dyDescent="0.25">
      <c r="I1841" s="7" t="s">
        <v>342</v>
      </c>
      <c r="J1841" s="5">
        <v>40000</v>
      </c>
    </row>
    <row r="1843" spans="1:12" x14ac:dyDescent="0.25">
      <c r="I1843" s="7" t="s">
        <v>20</v>
      </c>
      <c r="J1843" s="5">
        <f>SUM(J1839:J1842)</f>
        <v>270000</v>
      </c>
    </row>
    <row r="1845" spans="1:12" x14ac:dyDescent="0.25">
      <c r="A1845" s="1" t="s">
        <v>0</v>
      </c>
      <c r="B1845" s="1" t="s">
        <v>1</v>
      </c>
      <c r="C1845" s="1" t="s">
        <v>2</v>
      </c>
      <c r="D1845" s="1" t="s">
        <v>3</v>
      </c>
      <c r="E1845" s="1" t="s">
        <v>4</v>
      </c>
      <c r="F1845" s="2" t="s">
        <v>5</v>
      </c>
      <c r="G1845" s="3" t="s">
        <v>6</v>
      </c>
      <c r="H1845" s="3" t="s">
        <v>7</v>
      </c>
      <c r="I1845" s="6" t="s">
        <v>8</v>
      </c>
      <c r="J1845" s="2" t="s">
        <v>9</v>
      </c>
      <c r="K1845" s="3" t="s">
        <v>10</v>
      </c>
      <c r="L1845" s="2" t="s">
        <v>9</v>
      </c>
    </row>
    <row r="1846" spans="1:12" x14ac:dyDescent="0.25">
      <c r="A1846" s="4">
        <v>45854</v>
      </c>
      <c r="B1846" t="s">
        <v>89</v>
      </c>
      <c r="C1846" t="s">
        <v>1247</v>
      </c>
      <c r="F1846" s="5">
        <v>28171</v>
      </c>
      <c r="I1846" s="7" t="s">
        <v>1248</v>
      </c>
      <c r="J1846" s="5">
        <v>160000</v>
      </c>
    </row>
    <row r="1847" spans="1:12" x14ac:dyDescent="0.25">
      <c r="I1847" s="7" t="s">
        <v>1249</v>
      </c>
    </row>
    <row r="1848" spans="1:12" x14ac:dyDescent="0.25">
      <c r="I1848" s="7" t="s">
        <v>100</v>
      </c>
      <c r="J1848" s="5">
        <v>150000</v>
      </c>
    </row>
    <row r="1849" spans="1:12" x14ac:dyDescent="0.25">
      <c r="I1849" s="7" t="s">
        <v>77</v>
      </c>
      <c r="J1849" s="5">
        <v>22000</v>
      </c>
    </row>
    <row r="1851" spans="1:12" x14ac:dyDescent="0.25">
      <c r="I1851" s="7" t="s">
        <v>20</v>
      </c>
      <c r="J1851" s="5">
        <f>SUM(J1846:J1850)</f>
        <v>332000</v>
      </c>
    </row>
    <row r="1853" spans="1:12" x14ac:dyDescent="0.25">
      <c r="A1853" s="1" t="s">
        <v>0</v>
      </c>
      <c r="B1853" s="1" t="s">
        <v>1</v>
      </c>
      <c r="C1853" s="1" t="s">
        <v>2</v>
      </c>
      <c r="D1853" s="1" t="s">
        <v>3</v>
      </c>
      <c r="E1853" s="1" t="s">
        <v>4</v>
      </c>
      <c r="F1853" s="2" t="s">
        <v>5</v>
      </c>
      <c r="G1853" s="3" t="s">
        <v>6</v>
      </c>
      <c r="H1853" s="3" t="s">
        <v>7</v>
      </c>
      <c r="I1853" s="6" t="s">
        <v>8</v>
      </c>
      <c r="J1853" s="2" t="s">
        <v>9</v>
      </c>
      <c r="K1853" s="3" t="s">
        <v>10</v>
      </c>
      <c r="L1853" s="2" t="s">
        <v>9</v>
      </c>
    </row>
    <row r="1854" spans="1:12" x14ac:dyDescent="0.25">
      <c r="A1854" s="4">
        <v>45855</v>
      </c>
      <c r="B1854" t="s">
        <v>630</v>
      </c>
      <c r="C1854" t="s">
        <v>823</v>
      </c>
      <c r="D1854" t="s">
        <v>153</v>
      </c>
      <c r="F1854" s="5">
        <v>77647</v>
      </c>
      <c r="G1854" t="s">
        <v>824</v>
      </c>
      <c r="H1854">
        <v>3160628280</v>
      </c>
      <c r="I1854" s="7" t="s">
        <v>363</v>
      </c>
      <c r="J1854" s="5">
        <v>80000</v>
      </c>
    </row>
    <row r="1855" spans="1:12" x14ac:dyDescent="0.25">
      <c r="I1855" s="7" t="s">
        <v>77</v>
      </c>
      <c r="J1855" s="5">
        <v>22000</v>
      </c>
    </row>
    <row r="1856" spans="1:12" x14ac:dyDescent="0.25">
      <c r="I1856" s="7" t="s">
        <v>92</v>
      </c>
      <c r="J1856" s="5">
        <v>360000</v>
      </c>
    </row>
    <row r="1857" spans="1:12" x14ac:dyDescent="0.25">
      <c r="I1857" s="7" t="s">
        <v>100</v>
      </c>
      <c r="J1857" s="5">
        <v>80000</v>
      </c>
    </row>
    <row r="1858" spans="1:12" x14ac:dyDescent="0.25">
      <c r="I1858" s="7" t="s">
        <v>825</v>
      </c>
      <c r="J1858" s="5">
        <v>35000</v>
      </c>
    </row>
    <row r="1860" spans="1:12" x14ac:dyDescent="0.25">
      <c r="I1860" s="7" t="s">
        <v>20</v>
      </c>
      <c r="J1860" s="5">
        <f>SUM(J1854:J1859)</f>
        <v>577000</v>
      </c>
    </row>
    <row r="1862" spans="1:12" x14ac:dyDescent="0.25">
      <c r="A1862" s="1" t="s">
        <v>0</v>
      </c>
      <c r="B1862" s="1" t="s">
        <v>1</v>
      </c>
      <c r="C1862" s="1" t="s">
        <v>2</v>
      </c>
      <c r="D1862" s="1" t="s">
        <v>3</v>
      </c>
      <c r="E1862" s="1" t="s">
        <v>4</v>
      </c>
      <c r="F1862" s="2" t="s">
        <v>5</v>
      </c>
      <c r="G1862" s="3" t="s">
        <v>6</v>
      </c>
      <c r="H1862" s="3" t="s">
        <v>7</v>
      </c>
      <c r="I1862" s="6" t="s">
        <v>8</v>
      </c>
      <c r="J1862" s="2" t="s">
        <v>9</v>
      </c>
      <c r="K1862" s="3" t="s">
        <v>10</v>
      </c>
      <c r="L1862" s="2" t="s">
        <v>9</v>
      </c>
    </row>
    <row r="1863" spans="1:12" x14ac:dyDescent="0.25">
      <c r="A1863" s="4">
        <v>45855</v>
      </c>
      <c r="B1863" t="s">
        <v>826</v>
      </c>
      <c r="C1863" t="s">
        <v>827</v>
      </c>
      <c r="E1863">
        <v>2015</v>
      </c>
      <c r="F1863" s="5">
        <v>38432</v>
      </c>
      <c r="G1863" t="s">
        <v>828</v>
      </c>
      <c r="H1863">
        <v>3143655833</v>
      </c>
      <c r="I1863" s="7" t="s">
        <v>16</v>
      </c>
      <c r="J1863" s="5">
        <v>420000</v>
      </c>
    </row>
    <row r="1864" spans="1:12" x14ac:dyDescent="0.25">
      <c r="I1864" s="7" t="s">
        <v>244</v>
      </c>
      <c r="J1864" s="5">
        <v>1200000</v>
      </c>
    </row>
    <row r="1865" spans="1:12" x14ac:dyDescent="0.25">
      <c r="I1865" s="7" t="s">
        <v>17</v>
      </c>
      <c r="J1865" s="5">
        <v>260000</v>
      </c>
    </row>
    <row r="1866" spans="1:12" x14ac:dyDescent="0.25">
      <c r="I1866" s="7" t="s">
        <v>18</v>
      </c>
      <c r="J1866" s="5">
        <v>68000</v>
      </c>
    </row>
    <row r="1867" spans="1:12" x14ac:dyDescent="0.25">
      <c r="I1867" s="7" t="s">
        <v>829</v>
      </c>
      <c r="J1867" s="5">
        <v>150000</v>
      </c>
    </row>
    <row r="1868" spans="1:12" x14ac:dyDescent="0.25">
      <c r="I1868" s="7" t="s">
        <v>830</v>
      </c>
      <c r="J1868" s="5">
        <v>150000</v>
      </c>
    </row>
    <row r="1870" spans="1:12" x14ac:dyDescent="0.25">
      <c r="I1870" s="7" t="s">
        <v>20</v>
      </c>
      <c r="J1870" s="5">
        <f>SUM(J1863:J1869)</f>
        <v>2248000</v>
      </c>
    </row>
    <row r="1872" spans="1:12" x14ac:dyDescent="0.25">
      <c r="A1872" s="1" t="s">
        <v>0</v>
      </c>
      <c r="B1872" s="1" t="s">
        <v>1</v>
      </c>
      <c r="C1872" s="1" t="s">
        <v>2</v>
      </c>
      <c r="D1872" s="1" t="s">
        <v>3</v>
      </c>
      <c r="E1872" s="1" t="s">
        <v>4</v>
      </c>
      <c r="F1872" s="2" t="s">
        <v>5</v>
      </c>
      <c r="G1872" s="3" t="s">
        <v>6</v>
      </c>
      <c r="H1872" s="3" t="s">
        <v>7</v>
      </c>
      <c r="I1872" s="6" t="s">
        <v>8</v>
      </c>
      <c r="J1872" s="2" t="s">
        <v>9</v>
      </c>
      <c r="K1872" s="3" t="s">
        <v>10</v>
      </c>
      <c r="L1872" s="2" t="s">
        <v>9</v>
      </c>
    </row>
    <row r="1873" spans="1:12" x14ac:dyDescent="0.25">
      <c r="A1873" s="4">
        <v>45855</v>
      </c>
      <c r="B1873" t="s">
        <v>1191</v>
      </c>
      <c r="C1873" t="s">
        <v>1207</v>
      </c>
      <c r="D1873" t="s">
        <v>153</v>
      </c>
      <c r="G1873" t="s">
        <v>1208</v>
      </c>
      <c r="I1873" s="7" t="s">
        <v>1209</v>
      </c>
    </row>
    <row r="1875" spans="1:12" x14ac:dyDescent="0.25">
      <c r="I1875" s="7" t="s">
        <v>20</v>
      </c>
    </row>
    <row r="1877" spans="1:12" x14ac:dyDescent="0.25">
      <c r="A1877" s="1" t="s">
        <v>0</v>
      </c>
      <c r="B1877" s="1" t="s">
        <v>1</v>
      </c>
      <c r="C1877" s="1" t="s">
        <v>2</v>
      </c>
      <c r="D1877" s="1" t="s">
        <v>3</v>
      </c>
      <c r="E1877" s="1" t="s">
        <v>4</v>
      </c>
      <c r="F1877" s="2" t="s">
        <v>5</v>
      </c>
      <c r="G1877" s="3" t="s">
        <v>6</v>
      </c>
      <c r="H1877" s="3" t="s">
        <v>7</v>
      </c>
      <c r="I1877" s="6" t="s">
        <v>8</v>
      </c>
      <c r="J1877" s="2" t="s">
        <v>9</v>
      </c>
      <c r="K1877" s="3" t="s">
        <v>10</v>
      </c>
      <c r="L1877" s="2" t="s">
        <v>9</v>
      </c>
    </row>
    <row r="1878" spans="1:12" x14ac:dyDescent="0.25">
      <c r="A1878" s="4">
        <v>45856</v>
      </c>
      <c r="B1878" t="s">
        <v>40</v>
      </c>
      <c r="C1878" t="s">
        <v>831</v>
      </c>
      <c r="D1878" t="s">
        <v>13</v>
      </c>
      <c r="F1878" s="5">
        <v>35570</v>
      </c>
      <c r="I1878" s="7" t="s">
        <v>26</v>
      </c>
      <c r="J1878" s="5">
        <v>160000</v>
      </c>
    </row>
    <row r="1879" spans="1:12" x14ac:dyDescent="0.25">
      <c r="I1879" s="7" t="s">
        <v>25</v>
      </c>
      <c r="J1879" s="5">
        <v>80000</v>
      </c>
    </row>
    <row r="1881" spans="1:12" x14ac:dyDescent="0.25">
      <c r="I1881" s="7" t="s">
        <v>20</v>
      </c>
      <c r="J1881" s="5">
        <f>SUM(J1878:J1880)</f>
        <v>240000</v>
      </c>
    </row>
    <row r="1883" spans="1:12" x14ac:dyDescent="0.25">
      <c r="A1883" s="1" t="s">
        <v>0</v>
      </c>
      <c r="B1883" s="1" t="s">
        <v>1</v>
      </c>
      <c r="C1883" s="1" t="s">
        <v>2</v>
      </c>
      <c r="D1883" s="1" t="s">
        <v>3</v>
      </c>
      <c r="E1883" s="1" t="s">
        <v>4</v>
      </c>
      <c r="F1883" s="2" t="s">
        <v>5</v>
      </c>
      <c r="G1883" s="3" t="s">
        <v>6</v>
      </c>
      <c r="H1883" s="3" t="s">
        <v>7</v>
      </c>
      <c r="I1883" s="6" t="s">
        <v>8</v>
      </c>
      <c r="J1883" s="2" t="s">
        <v>9</v>
      </c>
      <c r="K1883" s="3" t="s">
        <v>10</v>
      </c>
      <c r="L1883" s="2" t="s">
        <v>9</v>
      </c>
    </row>
    <row r="1884" spans="1:12" x14ac:dyDescent="0.25">
      <c r="A1884" s="4">
        <v>45856</v>
      </c>
      <c r="B1884" t="s">
        <v>528</v>
      </c>
      <c r="C1884" t="s">
        <v>832</v>
      </c>
      <c r="D1884" t="s">
        <v>13</v>
      </c>
      <c r="F1884" s="5">
        <v>8700</v>
      </c>
      <c r="I1884" s="7" t="s">
        <v>25</v>
      </c>
      <c r="J1884" s="5">
        <v>240000</v>
      </c>
    </row>
    <row r="1886" spans="1:12" x14ac:dyDescent="0.25">
      <c r="I1886" s="7" t="s">
        <v>20</v>
      </c>
      <c r="J1886" s="5">
        <v>240000</v>
      </c>
    </row>
    <row r="1888" spans="1:12" x14ac:dyDescent="0.25">
      <c r="A1888" s="1" t="s">
        <v>0</v>
      </c>
      <c r="B1888" s="1" t="s">
        <v>1</v>
      </c>
      <c r="C1888" s="1" t="s">
        <v>2</v>
      </c>
      <c r="D1888" s="1" t="s">
        <v>3</v>
      </c>
      <c r="E1888" s="1" t="s">
        <v>4</v>
      </c>
      <c r="F1888" s="2" t="s">
        <v>5</v>
      </c>
      <c r="G1888" s="3" t="s">
        <v>6</v>
      </c>
      <c r="H1888" s="3" t="s">
        <v>7</v>
      </c>
      <c r="I1888" s="6" t="s">
        <v>8</v>
      </c>
      <c r="J1888" s="2" t="s">
        <v>9</v>
      </c>
      <c r="K1888" s="3" t="s">
        <v>10</v>
      </c>
      <c r="L1888" s="2" t="s">
        <v>9</v>
      </c>
    </row>
    <row r="1889" spans="1:12" x14ac:dyDescent="0.25">
      <c r="A1889" s="4">
        <v>45856</v>
      </c>
      <c r="B1889" t="s">
        <v>21</v>
      </c>
      <c r="C1889" t="s">
        <v>833</v>
      </c>
      <c r="D1889" t="s">
        <v>23</v>
      </c>
      <c r="F1889" s="5">
        <v>144198</v>
      </c>
      <c r="G1889" t="s">
        <v>834</v>
      </c>
      <c r="H1889">
        <v>3112125887</v>
      </c>
      <c r="I1889" s="7" t="s">
        <v>239</v>
      </c>
      <c r="J1889" s="5">
        <v>1200000</v>
      </c>
    </row>
    <row r="1891" spans="1:12" x14ac:dyDescent="0.25">
      <c r="I1891" s="7" t="s">
        <v>20</v>
      </c>
      <c r="J1891" s="5">
        <v>1200000</v>
      </c>
    </row>
    <row r="1893" spans="1:12" x14ac:dyDescent="0.25">
      <c r="A1893" s="1" t="s">
        <v>0</v>
      </c>
      <c r="B1893" s="1" t="s">
        <v>1</v>
      </c>
      <c r="C1893" s="1" t="s">
        <v>2</v>
      </c>
      <c r="D1893" s="1" t="s">
        <v>3</v>
      </c>
      <c r="E1893" s="1" t="s">
        <v>4</v>
      </c>
      <c r="F1893" s="2" t="s">
        <v>5</v>
      </c>
      <c r="G1893" s="3" t="s">
        <v>6</v>
      </c>
      <c r="H1893" s="3" t="s">
        <v>7</v>
      </c>
      <c r="I1893" s="6" t="s">
        <v>8</v>
      </c>
      <c r="J1893" s="2" t="s">
        <v>9</v>
      </c>
      <c r="K1893" s="3" t="s">
        <v>10</v>
      </c>
      <c r="L1893" s="2" t="s">
        <v>9</v>
      </c>
    </row>
    <row r="1894" spans="1:12" x14ac:dyDescent="0.25">
      <c r="A1894" s="4">
        <v>45856</v>
      </c>
      <c r="B1894" t="s">
        <v>11</v>
      </c>
      <c r="C1894" t="s">
        <v>835</v>
      </c>
      <c r="E1894">
        <v>2022</v>
      </c>
      <c r="F1894" s="5">
        <v>12023</v>
      </c>
      <c r="G1894" t="s">
        <v>836</v>
      </c>
      <c r="H1894">
        <v>3115625827</v>
      </c>
      <c r="I1894" s="7" t="s">
        <v>17</v>
      </c>
      <c r="J1894" s="5">
        <v>80000</v>
      </c>
    </row>
    <row r="1895" spans="1:12" x14ac:dyDescent="0.25">
      <c r="I1895" s="7" t="s">
        <v>18</v>
      </c>
      <c r="J1895" s="5">
        <v>50000</v>
      </c>
    </row>
    <row r="1896" spans="1:12" x14ac:dyDescent="0.25">
      <c r="I1896" s="7" t="s">
        <v>100</v>
      </c>
      <c r="J1896" s="5">
        <v>50000</v>
      </c>
    </row>
    <row r="1898" spans="1:12" x14ac:dyDescent="0.25">
      <c r="I1898" s="7" t="s">
        <v>20</v>
      </c>
      <c r="J1898" s="5">
        <f>SUM(J1894:J1897)</f>
        <v>180000</v>
      </c>
    </row>
    <row r="1900" spans="1:12" x14ac:dyDescent="0.25">
      <c r="A1900" s="1" t="s">
        <v>0</v>
      </c>
      <c r="B1900" s="1" t="s">
        <v>1</v>
      </c>
      <c r="C1900" s="1" t="s">
        <v>2</v>
      </c>
      <c r="D1900" s="1" t="s">
        <v>3</v>
      </c>
      <c r="E1900" s="1" t="s">
        <v>4</v>
      </c>
      <c r="F1900" s="2" t="s">
        <v>5</v>
      </c>
      <c r="G1900" s="3" t="s">
        <v>6</v>
      </c>
      <c r="H1900" s="3" t="s">
        <v>7</v>
      </c>
      <c r="I1900" s="6" t="s">
        <v>8</v>
      </c>
      <c r="J1900" s="2" t="s">
        <v>9</v>
      </c>
      <c r="K1900" s="3" t="s">
        <v>10</v>
      </c>
      <c r="L1900" s="2" t="s">
        <v>9</v>
      </c>
    </row>
    <row r="1901" spans="1:12" x14ac:dyDescent="0.25">
      <c r="A1901" s="4">
        <v>45857</v>
      </c>
      <c r="B1901" t="s">
        <v>119</v>
      </c>
      <c r="C1901" t="s">
        <v>120</v>
      </c>
      <c r="D1901" t="s">
        <v>29</v>
      </c>
      <c r="F1901" s="5">
        <v>27226</v>
      </c>
      <c r="G1901" t="s">
        <v>121</v>
      </c>
      <c r="I1901" s="7" t="s">
        <v>17</v>
      </c>
      <c r="J1901" s="5">
        <v>10000</v>
      </c>
    </row>
    <row r="1902" spans="1:12" x14ac:dyDescent="0.25">
      <c r="I1902" s="7" t="s">
        <v>18</v>
      </c>
      <c r="J1902" s="5">
        <v>16000</v>
      </c>
    </row>
    <row r="1903" spans="1:12" x14ac:dyDescent="0.25">
      <c r="I1903" s="7" t="s">
        <v>837</v>
      </c>
      <c r="J1903" s="5">
        <v>30000</v>
      </c>
    </row>
    <row r="1904" spans="1:12" x14ac:dyDescent="0.25">
      <c r="I1904" s="7" t="s">
        <v>112</v>
      </c>
      <c r="J1904" s="5">
        <v>6000</v>
      </c>
    </row>
    <row r="1905" spans="1:12" x14ac:dyDescent="0.25">
      <c r="I1905" s="7" t="s">
        <v>838</v>
      </c>
      <c r="J1905" s="5">
        <v>20000</v>
      </c>
    </row>
    <row r="1906" spans="1:12" x14ac:dyDescent="0.25">
      <c r="I1906" s="7" t="s">
        <v>839</v>
      </c>
      <c r="J1906" s="5">
        <v>160000</v>
      </c>
    </row>
    <row r="1908" spans="1:12" x14ac:dyDescent="0.25">
      <c r="I1908" s="7" t="s">
        <v>20</v>
      </c>
      <c r="J1908" s="5">
        <f>SUM(J1901:J1907)</f>
        <v>242000</v>
      </c>
    </row>
    <row r="1910" spans="1:12" x14ac:dyDescent="0.25">
      <c r="A1910" s="1" t="s">
        <v>0</v>
      </c>
      <c r="B1910" s="1" t="s">
        <v>1</v>
      </c>
      <c r="C1910" s="1" t="s">
        <v>2</v>
      </c>
      <c r="D1910" s="1" t="s">
        <v>3</v>
      </c>
      <c r="E1910" s="1" t="s">
        <v>4</v>
      </c>
      <c r="F1910" s="2" t="s">
        <v>5</v>
      </c>
      <c r="G1910" s="3" t="s">
        <v>6</v>
      </c>
      <c r="H1910" s="3" t="s">
        <v>7</v>
      </c>
      <c r="I1910" s="6" t="s">
        <v>8</v>
      </c>
      <c r="J1910" s="2" t="s">
        <v>9</v>
      </c>
      <c r="K1910" s="3" t="s">
        <v>10</v>
      </c>
      <c r="L1910" s="2" t="s">
        <v>9</v>
      </c>
    </row>
    <row r="1911" spans="1:12" x14ac:dyDescent="0.25">
      <c r="A1911" s="4">
        <v>45857</v>
      </c>
      <c r="B1911" t="s">
        <v>21</v>
      </c>
      <c r="C1911" t="s">
        <v>840</v>
      </c>
      <c r="D1911" t="s">
        <v>23</v>
      </c>
      <c r="E1911">
        <v>2018</v>
      </c>
      <c r="F1911" s="5">
        <v>61566</v>
      </c>
      <c r="G1911" t="s">
        <v>841</v>
      </c>
      <c r="I1911" s="7" t="s">
        <v>842</v>
      </c>
      <c r="J1911" s="5">
        <v>650000</v>
      </c>
    </row>
    <row r="1912" spans="1:12" x14ac:dyDescent="0.25">
      <c r="I1912" s="7" t="s">
        <v>843</v>
      </c>
      <c r="J1912" s="5">
        <v>80000</v>
      </c>
    </row>
    <row r="1914" spans="1:12" x14ac:dyDescent="0.25">
      <c r="I1914" s="7" t="s">
        <v>20</v>
      </c>
      <c r="J1914" s="5">
        <f>SUM(J1911:J1913)</f>
        <v>730000</v>
      </c>
    </row>
    <row r="1916" spans="1:12" x14ac:dyDescent="0.25">
      <c r="A1916" s="1" t="s">
        <v>0</v>
      </c>
      <c r="B1916" s="1" t="s">
        <v>1</v>
      </c>
      <c r="C1916" s="1" t="s">
        <v>2</v>
      </c>
      <c r="D1916" s="1" t="s">
        <v>3</v>
      </c>
      <c r="E1916" s="1" t="s">
        <v>4</v>
      </c>
      <c r="F1916" s="2" t="s">
        <v>5</v>
      </c>
      <c r="G1916" s="3" t="s">
        <v>6</v>
      </c>
      <c r="H1916" s="3" t="s">
        <v>7</v>
      </c>
      <c r="I1916" s="6" t="s">
        <v>8</v>
      </c>
      <c r="J1916" s="2" t="s">
        <v>9</v>
      </c>
      <c r="K1916" s="3" t="s">
        <v>10</v>
      </c>
      <c r="L1916" s="2" t="s">
        <v>9</v>
      </c>
    </row>
    <row r="1917" spans="1:12" x14ac:dyDescent="0.25">
      <c r="A1917" s="4">
        <v>45857</v>
      </c>
      <c r="B1917" t="s">
        <v>844</v>
      </c>
      <c r="C1917" t="s">
        <v>845</v>
      </c>
      <c r="D1917" t="s">
        <v>153</v>
      </c>
      <c r="F1917" s="5">
        <v>100018</v>
      </c>
      <c r="G1917" t="s">
        <v>846</v>
      </c>
      <c r="I1917" s="7" t="s">
        <v>847</v>
      </c>
      <c r="J1917" s="5">
        <v>379000</v>
      </c>
    </row>
    <row r="1918" spans="1:12" x14ac:dyDescent="0.25">
      <c r="I1918" s="7" t="s">
        <v>848</v>
      </c>
      <c r="J1918" s="5">
        <v>550000</v>
      </c>
    </row>
    <row r="1919" spans="1:12" x14ac:dyDescent="0.25">
      <c r="I1919" s="7" t="s">
        <v>100</v>
      </c>
      <c r="J1919" s="5">
        <v>650000</v>
      </c>
    </row>
    <row r="1921" spans="1:12" x14ac:dyDescent="0.25">
      <c r="I1921" s="7" t="s">
        <v>20</v>
      </c>
      <c r="J1921" s="5">
        <f>SUM(J1917:J1920)</f>
        <v>1579000</v>
      </c>
    </row>
    <row r="1923" spans="1:12" x14ac:dyDescent="0.25">
      <c r="A1923" s="1" t="s">
        <v>0</v>
      </c>
      <c r="B1923" s="1" t="s">
        <v>1</v>
      </c>
      <c r="C1923" s="1" t="s">
        <v>2</v>
      </c>
      <c r="D1923" s="1" t="s">
        <v>3</v>
      </c>
      <c r="E1923" s="1" t="s">
        <v>4</v>
      </c>
      <c r="F1923" s="2" t="s">
        <v>5</v>
      </c>
      <c r="G1923" s="3" t="s">
        <v>6</v>
      </c>
      <c r="H1923" s="3" t="s">
        <v>7</v>
      </c>
      <c r="I1923" s="6" t="s">
        <v>8</v>
      </c>
      <c r="J1923" s="2" t="s">
        <v>9</v>
      </c>
      <c r="K1923" s="3" t="s">
        <v>10</v>
      </c>
      <c r="L1923" s="2" t="s">
        <v>9</v>
      </c>
    </row>
    <row r="1924" spans="1:12" x14ac:dyDescent="0.25">
      <c r="A1924" s="4">
        <v>45857</v>
      </c>
      <c r="B1924" t="s">
        <v>704</v>
      </c>
      <c r="C1924" t="s">
        <v>849</v>
      </c>
      <c r="D1924" t="s">
        <v>29</v>
      </c>
      <c r="F1924" s="5">
        <v>2981</v>
      </c>
      <c r="I1924" s="7" t="s">
        <v>17</v>
      </c>
      <c r="J1924" s="5">
        <v>116000</v>
      </c>
    </row>
    <row r="1925" spans="1:12" x14ac:dyDescent="0.25">
      <c r="I1925" s="7" t="s">
        <v>18</v>
      </c>
      <c r="J1925" s="5">
        <v>46000</v>
      </c>
    </row>
    <row r="1927" spans="1:12" x14ac:dyDescent="0.25">
      <c r="I1927" s="7" t="s">
        <v>850</v>
      </c>
      <c r="J1927" s="5">
        <f>SUM(J1924:J1926)</f>
        <v>162000</v>
      </c>
    </row>
    <row r="1929" spans="1:12" x14ac:dyDescent="0.25">
      <c r="A1929" s="1" t="s">
        <v>0</v>
      </c>
      <c r="B1929" s="1" t="s">
        <v>1</v>
      </c>
      <c r="C1929" s="1" t="s">
        <v>2</v>
      </c>
      <c r="D1929" s="1" t="s">
        <v>3</v>
      </c>
      <c r="E1929" s="1" t="s">
        <v>4</v>
      </c>
      <c r="F1929" s="2" t="s">
        <v>5</v>
      </c>
      <c r="G1929" s="3" t="s">
        <v>6</v>
      </c>
      <c r="H1929" s="3" t="s">
        <v>7</v>
      </c>
      <c r="I1929" s="6" t="s">
        <v>8</v>
      </c>
      <c r="J1929" s="2" t="s">
        <v>9</v>
      </c>
      <c r="K1929" s="3" t="s">
        <v>10</v>
      </c>
      <c r="L1929" s="2" t="s">
        <v>9</v>
      </c>
    </row>
    <row r="1930" spans="1:12" x14ac:dyDescent="0.25">
      <c r="A1930" s="4">
        <v>45857</v>
      </c>
      <c r="B1930" t="s">
        <v>40</v>
      </c>
      <c r="C1930" t="s">
        <v>751</v>
      </c>
      <c r="D1930" t="s">
        <v>153</v>
      </c>
      <c r="E1930">
        <v>2012</v>
      </c>
      <c r="F1930" s="5">
        <v>78711</v>
      </c>
      <c r="G1930" t="s">
        <v>752</v>
      </c>
      <c r="H1930">
        <v>3202455286</v>
      </c>
      <c r="I1930" s="7" t="s">
        <v>17</v>
      </c>
      <c r="J1930" s="5">
        <v>171000</v>
      </c>
    </row>
    <row r="1931" spans="1:12" x14ac:dyDescent="0.25">
      <c r="A1931" s="4"/>
      <c r="I1931" s="7" t="s">
        <v>753</v>
      </c>
      <c r="J1931" s="5">
        <v>46000</v>
      </c>
    </row>
    <row r="1932" spans="1:12" x14ac:dyDescent="0.25">
      <c r="A1932" s="4"/>
      <c r="I1932" s="7" t="s">
        <v>527</v>
      </c>
      <c r="J1932" s="5">
        <v>140000</v>
      </c>
    </row>
    <row r="1933" spans="1:12" x14ac:dyDescent="0.25">
      <c r="A1933" s="4"/>
      <c r="I1933" s="7" t="s">
        <v>754</v>
      </c>
      <c r="J1933" s="5">
        <v>80000</v>
      </c>
    </row>
    <row r="1934" spans="1:12" x14ac:dyDescent="0.25">
      <c r="A1934" s="4"/>
      <c r="I1934" s="7" t="s">
        <v>755</v>
      </c>
      <c r="J1934" s="5">
        <v>15000</v>
      </c>
    </row>
    <row r="1935" spans="1:12" x14ac:dyDescent="0.25">
      <c r="A1935" s="4"/>
      <c r="I1935" s="7" t="s">
        <v>756</v>
      </c>
      <c r="J1935" s="5">
        <v>80000</v>
      </c>
    </row>
    <row r="1936" spans="1:12" x14ac:dyDescent="0.25">
      <c r="A1936" s="4"/>
      <c r="I1936" s="7" t="s">
        <v>757</v>
      </c>
      <c r="J1936" s="5">
        <v>280000</v>
      </c>
    </row>
    <row r="1937" spans="1:12" x14ac:dyDescent="0.25">
      <c r="A1937" s="4"/>
      <c r="I1937" s="7" t="s">
        <v>758</v>
      </c>
      <c r="J1937" s="5">
        <v>5000</v>
      </c>
    </row>
    <row r="1938" spans="1:12" x14ac:dyDescent="0.25">
      <c r="A1938" s="4"/>
    </row>
    <row r="1939" spans="1:12" x14ac:dyDescent="0.25">
      <c r="I1939" s="7" t="s">
        <v>20</v>
      </c>
      <c r="J1939" s="5">
        <f>SUM(J1930:J1938)</f>
        <v>817000</v>
      </c>
    </row>
    <row r="1941" spans="1:12" x14ac:dyDescent="0.25">
      <c r="A1941" s="1" t="s">
        <v>0</v>
      </c>
      <c r="B1941" s="1" t="s">
        <v>1</v>
      </c>
      <c r="C1941" s="1" t="s">
        <v>2</v>
      </c>
      <c r="D1941" s="1" t="s">
        <v>3</v>
      </c>
      <c r="E1941" s="1" t="s">
        <v>4</v>
      </c>
      <c r="F1941" s="2" t="s">
        <v>5</v>
      </c>
      <c r="G1941" s="3" t="s">
        <v>6</v>
      </c>
      <c r="H1941" s="3" t="s">
        <v>7</v>
      </c>
      <c r="I1941" s="6" t="s">
        <v>8</v>
      </c>
      <c r="J1941" s="2" t="s">
        <v>9</v>
      </c>
      <c r="K1941" s="3" t="s">
        <v>10</v>
      </c>
      <c r="L1941" s="2" t="s">
        <v>9</v>
      </c>
    </row>
    <row r="1942" spans="1:12" x14ac:dyDescent="0.25">
      <c r="A1942" s="4">
        <v>45859</v>
      </c>
      <c r="B1942" t="s">
        <v>445</v>
      </c>
      <c r="C1942" t="s">
        <v>851</v>
      </c>
      <c r="D1942" t="s">
        <v>53</v>
      </c>
      <c r="F1942" s="5">
        <v>39613</v>
      </c>
      <c r="I1942" s="7" t="s">
        <v>852</v>
      </c>
      <c r="J1942" s="5">
        <v>55000</v>
      </c>
    </row>
    <row r="1943" spans="1:12" x14ac:dyDescent="0.25">
      <c r="I1943" s="7" t="s">
        <v>853</v>
      </c>
      <c r="J1943" s="5">
        <v>80000</v>
      </c>
    </row>
    <row r="1944" spans="1:12" x14ac:dyDescent="0.25">
      <c r="I1944" s="7" t="s">
        <v>854</v>
      </c>
      <c r="J1944" s="5">
        <v>15000</v>
      </c>
    </row>
    <row r="1946" spans="1:12" x14ac:dyDescent="0.25">
      <c r="I1946" s="7" t="s">
        <v>20</v>
      </c>
      <c r="J1946" s="5">
        <f>SUM(J1942:J1945)</f>
        <v>150000</v>
      </c>
    </row>
    <row r="1948" spans="1:12" x14ac:dyDescent="0.25">
      <c r="A1948" s="1" t="s">
        <v>0</v>
      </c>
      <c r="B1948" s="1" t="s">
        <v>1</v>
      </c>
      <c r="C1948" s="1" t="s">
        <v>2</v>
      </c>
      <c r="D1948" s="1" t="s">
        <v>3</v>
      </c>
      <c r="E1948" s="1" t="s">
        <v>4</v>
      </c>
      <c r="F1948" s="2" t="s">
        <v>5</v>
      </c>
      <c r="G1948" s="3" t="s">
        <v>6</v>
      </c>
      <c r="H1948" s="3" t="s">
        <v>7</v>
      </c>
      <c r="I1948" s="6" t="s">
        <v>8</v>
      </c>
      <c r="J1948" s="2" t="s">
        <v>9</v>
      </c>
      <c r="K1948" s="3" t="s">
        <v>10</v>
      </c>
      <c r="L1948" s="2" t="s">
        <v>9</v>
      </c>
    </row>
    <row r="1949" spans="1:12" x14ac:dyDescent="0.25">
      <c r="A1949" s="4">
        <v>45859</v>
      </c>
      <c r="B1949" t="s">
        <v>40</v>
      </c>
      <c r="C1949" t="s">
        <v>855</v>
      </c>
      <c r="D1949" t="s">
        <v>153</v>
      </c>
      <c r="F1949" s="5">
        <v>48264</v>
      </c>
      <c r="G1949" t="s">
        <v>856</v>
      </c>
      <c r="H1949">
        <v>3114703431</v>
      </c>
      <c r="I1949" s="7" t="s">
        <v>857</v>
      </c>
      <c r="J1949" s="5">
        <v>350000</v>
      </c>
    </row>
    <row r="1950" spans="1:12" x14ac:dyDescent="0.25">
      <c r="I1950" s="7" t="s">
        <v>48</v>
      </c>
      <c r="J1950" s="5">
        <v>150000</v>
      </c>
    </row>
    <row r="1951" spans="1:12" x14ac:dyDescent="0.25">
      <c r="I1951" s="7" t="s">
        <v>858</v>
      </c>
      <c r="J1951" s="5">
        <v>30000</v>
      </c>
    </row>
    <row r="1953" spans="1:12" x14ac:dyDescent="0.25">
      <c r="I1953" s="7" t="s">
        <v>20</v>
      </c>
      <c r="J1953" s="5">
        <f>SUM(J1949:J1952)</f>
        <v>530000</v>
      </c>
    </row>
    <row r="1955" spans="1:12" x14ac:dyDescent="0.25">
      <c r="A1955" s="1" t="s">
        <v>0</v>
      </c>
      <c r="B1955" s="1" t="s">
        <v>1</v>
      </c>
      <c r="C1955" s="1" t="s">
        <v>2</v>
      </c>
      <c r="D1955" s="1" t="s">
        <v>3</v>
      </c>
      <c r="E1955" s="1" t="s">
        <v>4</v>
      </c>
      <c r="F1955" s="2" t="s">
        <v>5</v>
      </c>
      <c r="G1955" s="3" t="s">
        <v>6</v>
      </c>
      <c r="H1955" s="3" t="s">
        <v>7</v>
      </c>
      <c r="I1955" s="6" t="s">
        <v>8</v>
      </c>
      <c r="J1955" s="2" t="s">
        <v>9</v>
      </c>
      <c r="K1955" s="3" t="s">
        <v>10</v>
      </c>
      <c r="L1955" s="2" t="s">
        <v>9</v>
      </c>
    </row>
    <row r="1956" spans="1:12" x14ac:dyDescent="0.25">
      <c r="A1956" s="4">
        <v>45859</v>
      </c>
      <c r="B1956" t="s">
        <v>89</v>
      </c>
      <c r="C1956" t="s">
        <v>859</v>
      </c>
      <c r="I1956" s="7" t="s">
        <v>25</v>
      </c>
    </row>
    <row r="1957" spans="1:12" x14ac:dyDescent="0.25">
      <c r="I1957" s="7" t="s">
        <v>26</v>
      </c>
    </row>
    <row r="1959" spans="1:12" x14ac:dyDescent="0.25">
      <c r="I1959" s="7" t="s">
        <v>20</v>
      </c>
      <c r="J1959" s="5">
        <v>330000</v>
      </c>
    </row>
    <row r="1961" spans="1:12" x14ac:dyDescent="0.25">
      <c r="A1961" s="1" t="s">
        <v>0</v>
      </c>
      <c r="B1961" s="1" t="s">
        <v>1</v>
      </c>
      <c r="C1961" s="1" t="s">
        <v>2</v>
      </c>
      <c r="D1961" s="1" t="s">
        <v>3</v>
      </c>
      <c r="E1961" s="1" t="s">
        <v>4</v>
      </c>
      <c r="F1961" s="2" t="s">
        <v>5</v>
      </c>
      <c r="G1961" s="3" t="s">
        <v>6</v>
      </c>
      <c r="H1961" s="3" t="s">
        <v>7</v>
      </c>
      <c r="I1961" s="6" t="s">
        <v>8</v>
      </c>
      <c r="J1961" s="2" t="s">
        <v>9</v>
      </c>
      <c r="K1961" s="3" t="s">
        <v>10</v>
      </c>
      <c r="L1961" s="2" t="s">
        <v>9</v>
      </c>
    </row>
    <row r="1962" spans="1:12" x14ac:dyDescent="0.25">
      <c r="A1962" s="4">
        <v>45859</v>
      </c>
      <c r="B1962" t="s">
        <v>860</v>
      </c>
      <c r="C1962" t="s">
        <v>861</v>
      </c>
      <c r="D1962" t="s">
        <v>153</v>
      </c>
      <c r="E1962">
        <v>2018</v>
      </c>
      <c r="F1962" s="5">
        <v>47579</v>
      </c>
      <c r="G1962" t="s">
        <v>862</v>
      </c>
      <c r="H1962">
        <v>3108252752</v>
      </c>
      <c r="I1962" s="7" t="s">
        <v>16</v>
      </c>
      <c r="J1962" s="5">
        <v>220000</v>
      </c>
    </row>
    <row r="1963" spans="1:12" x14ac:dyDescent="0.25">
      <c r="I1963" s="7" t="s">
        <v>863</v>
      </c>
      <c r="J1963" s="5">
        <v>68000</v>
      </c>
    </row>
    <row r="1964" spans="1:12" x14ac:dyDescent="0.25">
      <c r="I1964" s="7" t="s">
        <v>864</v>
      </c>
      <c r="J1964" s="5">
        <v>180000</v>
      </c>
    </row>
    <row r="1965" spans="1:12" x14ac:dyDescent="0.25">
      <c r="I1965" s="7" t="s">
        <v>865</v>
      </c>
      <c r="J1965" s="5">
        <v>65000</v>
      </c>
    </row>
    <row r="1966" spans="1:12" x14ac:dyDescent="0.25">
      <c r="I1966" s="7" t="s">
        <v>866</v>
      </c>
      <c r="J1966" s="5">
        <v>22000</v>
      </c>
    </row>
    <row r="1967" spans="1:12" x14ac:dyDescent="0.25">
      <c r="I1967" s="7" t="s">
        <v>790</v>
      </c>
      <c r="J1967" s="5">
        <v>44000</v>
      </c>
    </row>
    <row r="1969" spans="1:12" x14ac:dyDescent="0.25">
      <c r="I1969" s="7" t="s">
        <v>20</v>
      </c>
      <c r="J1969" s="5">
        <f>SUM(J1962:J1968)</f>
        <v>599000</v>
      </c>
    </row>
    <row r="1971" spans="1:12" x14ac:dyDescent="0.25">
      <c r="A1971" s="1" t="s">
        <v>0</v>
      </c>
      <c r="B1971" s="1" t="s">
        <v>1</v>
      </c>
      <c r="C1971" s="1" t="s">
        <v>2</v>
      </c>
      <c r="D1971" s="1" t="s">
        <v>3</v>
      </c>
      <c r="E1971" s="1" t="s">
        <v>4</v>
      </c>
      <c r="F1971" s="2" t="s">
        <v>5</v>
      </c>
      <c r="G1971" s="3" t="s">
        <v>6</v>
      </c>
      <c r="H1971" s="3" t="s">
        <v>7</v>
      </c>
      <c r="I1971" s="6" t="s">
        <v>8</v>
      </c>
      <c r="J1971" s="2" t="s">
        <v>9</v>
      </c>
      <c r="K1971" s="3" t="s">
        <v>10</v>
      </c>
      <c r="L1971" s="2" t="s">
        <v>9</v>
      </c>
    </row>
    <row r="1972" spans="1:12" x14ac:dyDescent="0.25">
      <c r="A1972" s="4">
        <v>45859</v>
      </c>
      <c r="B1972" t="s">
        <v>40</v>
      </c>
      <c r="C1972" t="s">
        <v>1243</v>
      </c>
      <c r="D1972" t="s">
        <v>13</v>
      </c>
      <c r="F1972" s="5">
        <v>80275</v>
      </c>
      <c r="G1972" t="s">
        <v>1244</v>
      </c>
      <c r="I1972" s="7" t="s">
        <v>1245</v>
      </c>
    </row>
    <row r="1973" spans="1:12" x14ac:dyDescent="0.25">
      <c r="I1973" s="7" t="s">
        <v>1246</v>
      </c>
    </row>
    <row r="1974" spans="1:12" x14ac:dyDescent="0.25">
      <c r="I1974" s="7" t="s">
        <v>112</v>
      </c>
    </row>
    <row r="1976" spans="1:12" x14ac:dyDescent="0.25">
      <c r="I1976" s="7" t="s">
        <v>20</v>
      </c>
    </row>
    <row r="1978" spans="1:12" x14ac:dyDescent="0.25">
      <c r="A1978" s="1" t="s">
        <v>0</v>
      </c>
      <c r="B1978" s="1" t="s">
        <v>1</v>
      </c>
      <c r="C1978" s="1" t="s">
        <v>2</v>
      </c>
      <c r="D1978" s="1" t="s">
        <v>3</v>
      </c>
      <c r="E1978" s="1" t="s">
        <v>4</v>
      </c>
      <c r="F1978" s="2" t="s">
        <v>5</v>
      </c>
      <c r="G1978" s="3" t="s">
        <v>6</v>
      </c>
      <c r="H1978" s="3" t="s">
        <v>7</v>
      </c>
      <c r="I1978" s="6" t="s">
        <v>8</v>
      </c>
      <c r="J1978" s="2" t="s">
        <v>9</v>
      </c>
      <c r="K1978" s="3" t="s">
        <v>10</v>
      </c>
      <c r="L1978" s="2" t="s">
        <v>9</v>
      </c>
    </row>
    <row r="1979" spans="1:12" x14ac:dyDescent="0.25">
      <c r="A1979" s="4">
        <v>45860</v>
      </c>
      <c r="B1979" t="s">
        <v>357</v>
      </c>
      <c r="C1979" t="s">
        <v>358</v>
      </c>
      <c r="D1979" t="s">
        <v>882</v>
      </c>
      <c r="F1979" s="5">
        <v>27251</v>
      </c>
      <c r="G1979" t="s">
        <v>360</v>
      </c>
      <c r="I1979" s="7" t="s">
        <v>17</v>
      </c>
      <c r="J1979" s="5">
        <v>390000</v>
      </c>
    </row>
    <row r="1980" spans="1:12" x14ac:dyDescent="0.25">
      <c r="I1980" s="7" t="s">
        <v>18</v>
      </c>
      <c r="J1980" s="5">
        <v>68000</v>
      </c>
    </row>
    <row r="1981" spans="1:12" x14ac:dyDescent="0.25">
      <c r="I1981" s="7" t="s">
        <v>883</v>
      </c>
      <c r="J1981" s="5">
        <v>250000</v>
      </c>
    </row>
    <row r="1982" spans="1:12" x14ac:dyDescent="0.25">
      <c r="I1982" s="7" t="s">
        <v>77</v>
      </c>
      <c r="J1982" s="5">
        <v>22000</v>
      </c>
    </row>
    <row r="1984" spans="1:12" x14ac:dyDescent="0.25">
      <c r="I1984" s="7" t="s">
        <v>20</v>
      </c>
      <c r="J1984" s="5">
        <f>SUM(J1979:J1983)</f>
        <v>730000</v>
      </c>
    </row>
    <row r="1986" spans="1:12" x14ac:dyDescent="0.25">
      <c r="A1986" s="1" t="s">
        <v>0</v>
      </c>
      <c r="B1986" s="1" t="s">
        <v>1</v>
      </c>
      <c r="C1986" s="1" t="s">
        <v>2</v>
      </c>
      <c r="D1986" s="1" t="s">
        <v>3</v>
      </c>
      <c r="E1986" s="1" t="s">
        <v>4</v>
      </c>
      <c r="F1986" s="2" t="s">
        <v>5</v>
      </c>
      <c r="G1986" s="3" t="s">
        <v>6</v>
      </c>
      <c r="H1986" s="3" t="s">
        <v>7</v>
      </c>
      <c r="I1986" s="6" t="s">
        <v>8</v>
      </c>
      <c r="J1986" s="2" t="s">
        <v>9</v>
      </c>
      <c r="K1986" s="3" t="s">
        <v>10</v>
      </c>
      <c r="L1986" s="2" t="s">
        <v>9</v>
      </c>
    </row>
    <row r="1987" spans="1:12" x14ac:dyDescent="0.25">
      <c r="A1987" s="4">
        <v>45860</v>
      </c>
      <c r="B1987" t="s">
        <v>903</v>
      </c>
      <c r="C1987" t="s">
        <v>904</v>
      </c>
      <c r="E1987">
        <v>2021</v>
      </c>
      <c r="F1987" s="5">
        <v>13104</v>
      </c>
      <c r="G1987" t="s">
        <v>905</v>
      </c>
      <c r="H1987">
        <v>3024518870</v>
      </c>
      <c r="I1987" s="7" t="s">
        <v>26</v>
      </c>
      <c r="J1987" s="5">
        <v>120000</v>
      </c>
    </row>
    <row r="1988" spans="1:12" x14ac:dyDescent="0.25">
      <c r="I1988" s="7" t="s">
        <v>906</v>
      </c>
      <c r="J1988" s="5">
        <v>80000</v>
      </c>
    </row>
    <row r="1989" spans="1:12" x14ac:dyDescent="0.25">
      <c r="I1989" s="7" t="s">
        <v>133</v>
      </c>
      <c r="J1989" s="5">
        <v>150000</v>
      </c>
    </row>
    <row r="1990" spans="1:12" x14ac:dyDescent="0.25">
      <c r="I1990" s="7" t="s">
        <v>16</v>
      </c>
      <c r="J1990" s="5">
        <v>390000</v>
      </c>
    </row>
    <row r="1991" spans="1:12" x14ac:dyDescent="0.25">
      <c r="I1991" s="7" t="s">
        <v>907</v>
      </c>
      <c r="J1991" s="5">
        <v>80000</v>
      </c>
    </row>
    <row r="1992" spans="1:12" x14ac:dyDescent="0.25">
      <c r="I1992" s="7" t="s">
        <v>908</v>
      </c>
      <c r="J1992" s="5">
        <v>500000</v>
      </c>
    </row>
    <row r="1993" spans="1:12" x14ac:dyDescent="0.25">
      <c r="I1993" s="7" t="s">
        <v>909</v>
      </c>
      <c r="J1993" s="5">
        <v>150000</v>
      </c>
    </row>
    <row r="1994" spans="1:12" x14ac:dyDescent="0.25">
      <c r="I1994" s="7" t="s">
        <v>198</v>
      </c>
      <c r="J1994" s="5">
        <v>320000</v>
      </c>
    </row>
    <row r="1995" spans="1:12" x14ac:dyDescent="0.25">
      <c r="I1995" s="7" t="s">
        <v>910</v>
      </c>
      <c r="J1995" s="5">
        <v>25000</v>
      </c>
    </row>
    <row r="1996" spans="1:12" x14ac:dyDescent="0.25">
      <c r="I1996" s="7" t="s">
        <v>911</v>
      </c>
      <c r="J1996" s="5">
        <v>80000</v>
      </c>
    </row>
    <row r="1998" spans="1:12" x14ac:dyDescent="0.25">
      <c r="I1998" s="7" t="s">
        <v>20</v>
      </c>
      <c r="J1998" s="5">
        <f>SUM(J1987:J1997)</f>
        <v>1895000</v>
      </c>
    </row>
    <row r="1999" spans="1:12" ht="15.75" customHeight="1" x14ac:dyDescent="0.25"/>
    <row r="2000" spans="1:12" x14ac:dyDescent="0.25">
      <c r="A2000" s="1" t="s">
        <v>0</v>
      </c>
      <c r="B2000" s="1" t="s">
        <v>1</v>
      </c>
      <c r="C2000" s="1" t="s">
        <v>2</v>
      </c>
      <c r="D2000" s="1" t="s">
        <v>3</v>
      </c>
      <c r="E2000" s="1" t="s">
        <v>4</v>
      </c>
      <c r="F2000" s="2" t="s">
        <v>5</v>
      </c>
      <c r="G2000" s="3" t="s">
        <v>6</v>
      </c>
      <c r="H2000" s="3" t="s">
        <v>7</v>
      </c>
      <c r="I2000" s="6" t="s">
        <v>8</v>
      </c>
      <c r="J2000" s="2" t="s">
        <v>9</v>
      </c>
      <c r="K2000" s="3" t="s">
        <v>10</v>
      </c>
      <c r="L2000" s="2" t="s">
        <v>9</v>
      </c>
    </row>
    <row r="2001" spans="1:12" x14ac:dyDescent="0.25">
      <c r="A2001" s="4">
        <v>45860</v>
      </c>
      <c r="B2001" t="s">
        <v>587</v>
      </c>
      <c r="C2001" t="s">
        <v>588</v>
      </c>
      <c r="D2001" t="s">
        <v>359</v>
      </c>
      <c r="F2001" s="5">
        <v>116343</v>
      </c>
      <c r="G2001" t="s">
        <v>941</v>
      </c>
      <c r="I2001" s="7" t="s">
        <v>942</v>
      </c>
    </row>
    <row r="2002" spans="1:12" x14ac:dyDescent="0.25">
      <c r="I2002" s="7" t="s">
        <v>122</v>
      </c>
    </row>
    <row r="2004" spans="1:12" x14ac:dyDescent="0.25">
      <c r="I2004" s="7" t="s">
        <v>20</v>
      </c>
    </row>
    <row r="2006" spans="1:12" x14ac:dyDescent="0.25">
      <c r="A2006" s="1" t="s">
        <v>0</v>
      </c>
      <c r="B2006" s="1" t="s">
        <v>1</v>
      </c>
      <c r="C2006" s="1" t="s">
        <v>2</v>
      </c>
      <c r="D2006" s="1" t="s">
        <v>3</v>
      </c>
      <c r="E2006" s="1" t="s">
        <v>4</v>
      </c>
      <c r="F2006" s="2" t="s">
        <v>5</v>
      </c>
      <c r="G2006" s="3" t="s">
        <v>6</v>
      </c>
      <c r="H2006" s="3" t="s">
        <v>7</v>
      </c>
      <c r="I2006" s="6" t="s">
        <v>8</v>
      </c>
      <c r="J2006" s="2" t="s">
        <v>9</v>
      </c>
      <c r="K2006" s="3" t="s">
        <v>10</v>
      </c>
      <c r="L2006" s="2" t="s">
        <v>9</v>
      </c>
    </row>
    <row r="2007" spans="1:12" x14ac:dyDescent="0.25">
      <c r="A2007" s="4">
        <v>45860</v>
      </c>
      <c r="B2007" t="s">
        <v>21</v>
      </c>
      <c r="C2007" t="s">
        <v>943</v>
      </c>
      <c r="D2007" t="s">
        <v>29</v>
      </c>
      <c r="G2007" t="s">
        <v>944</v>
      </c>
      <c r="I2007" s="7" t="s">
        <v>945</v>
      </c>
      <c r="J2007" s="5">
        <v>120000</v>
      </c>
    </row>
    <row r="2008" spans="1:12" x14ac:dyDescent="0.25">
      <c r="I2008" s="7" t="s">
        <v>398</v>
      </c>
      <c r="J2008" s="5">
        <v>20000</v>
      </c>
    </row>
    <row r="2009" spans="1:12" x14ac:dyDescent="0.25">
      <c r="I2009" s="7" t="s">
        <v>946</v>
      </c>
      <c r="J2009" s="5">
        <v>22000</v>
      </c>
    </row>
    <row r="2010" spans="1:12" x14ac:dyDescent="0.25">
      <c r="I2010" s="7" t="s">
        <v>77</v>
      </c>
      <c r="J2010" s="5">
        <v>10000</v>
      </c>
    </row>
    <row r="2011" spans="1:12" x14ac:dyDescent="0.25">
      <c r="I2011" s="7" t="s">
        <v>947</v>
      </c>
      <c r="J2011" s="5">
        <v>50000</v>
      </c>
    </row>
    <row r="2012" spans="1:12" x14ac:dyDescent="0.25">
      <c r="I2012" s="7" t="s">
        <v>948</v>
      </c>
    </row>
    <row r="2014" spans="1:12" x14ac:dyDescent="0.25">
      <c r="I2014" s="7" t="s">
        <v>20</v>
      </c>
      <c r="J2014" s="5">
        <f>SUM(J2007:J2013)</f>
        <v>222000</v>
      </c>
    </row>
    <row r="2016" spans="1:12" x14ac:dyDescent="0.25">
      <c r="A2016" s="1" t="s">
        <v>0</v>
      </c>
      <c r="B2016" s="1" t="s">
        <v>1</v>
      </c>
      <c r="C2016" s="1" t="s">
        <v>2</v>
      </c>
      <c r="D2016" s="1" t="s">
        <v>3</v>
      </c>
      <c r="E2016" s="1" t="s">
        <v>4</v>
      </c>
      <c r="F2016" s="2" t="s">
        <v>5</v>
      </c>
      <c r="G2016" s="3" t="s">
        <v>6</v>
      </c>
      <c r="H2016" s="3" t="s">
        <v>7</v>
      </c>
      <c r="I2016" s="6" t="s">
        <v>8</v>
      </c>
      <c r="J2016" s="2" t="s">
        <v>9</v>
      </c>
      <c r="K2016" s="3" t="s">
        <v>10</v>
      </c>
      <c r="L2016" s="2" t="s">
        <v>9</v>
      </c>
    </row>
    <row r="2017" spans="1:12" x14ac:dyDescent="0.25">
      <c r="A2017" s="4">
        <v>45861</v>
      </c>
      <c r="B2017" t="s">
        <v>884</v>
      </c>
      <c r="C2017" t="s">
        <v>885</v>
      </c>
      <c r="F2017" s="5">
        <v>14302</v>
      </c>
      <c r="G2017" t="s">
        <v>886</v>
      </c>
      <c r="I2017" s="7" t="s">
        <v>887</v>
      </c>
      <c r="J2017" s="5">
        <v>50000</v>
      </c>
    </row>
    <row r="2018" spans="1:12" x14ac:dyDescent="0.25">
      <c r="I2018" s="7" t="s">
        <v>169</v>
      </c>
      <c r="J2018" s="5">
        <v>20000</v>
      </c>
    </row>
    <row r="2019" spans="1:12" x14ac:dyDescent="0.25">
      <c r="I2019" s="7" t="s">
        <v>548</v>
      </c>
      <c r="J2019" s="5">
        <v>12000</v>
      </c>
    </row>
    <row r="2021" spans="1:12" x14ac:dyDescent="0.25">
      <c r="I2021" s="7" t="s">
        <v>20</v>
      </c>
      <c r="J2021" s="5">
        <f>SUM(J2017:J2020)</f>
        <v>82000</v>
      </c>
    </row>
    <row r="2023" spans="1:12" x14ac:dyDescent="0.25">
      <c r="A2023" s="1" t="s">
        <v>0</v>
      </c>
      <c r="B2023" s="1" t="s">
        <v>1</v>
      </c>
      <c r="C2023" s="1" t="s">
        <v>2</v>
      </c>
      <c r="D2023" s="1" t="s">
        <v>3</v>
      </c>
      <c r="E2023" s="1" t="s">
        <v>4</v>
      </c>
      <c r="F2023" s="2" t="s">
        <v>5</v>
      </c>
      <c r="G2023" s="3" t="s">
        <v>6</v>
      </c>
      <c r="H2023" s="3" t="s">
        <v>7</v>
      </c>
      <c r="I2023" s="6" t="s">
        <v>8</v>
      </c>
      <c r="J2023" s="2" t="s">
        <v>9</v>
      </c>
      <c r="K2023" s="3" t="s">
        <v>10</v>
      </c>
      <c r="L2023" s="2" t="s">
        <v>9</v>
      </c>
    </row>
    <row r="2024" spans="1:12" x14ac:dyDescent="0.25">
      <c r="A2024" s="4">
        <v>45861</v>
      </c>
      <c r="B2024" t="s">
        <v>1203</v>
      </c>
      <c r="C2024" t="s">
        <v>1204</v>
      </c>
      <c r="D2024" t="s">
        <v>322</v>
      </c>
      <c r="G2024" t="s">
        <v>1205</v>
      </c>
      <c r="H2024">
        <v>3124351889</v>
      </c>
      <c r="I2024" s="7" t="s">
        <v>88</v>
      </c>
    </row>
    <row r="2026" spans="1:12" x14ac:dyDescent="0.25">
      <c r="I2026" s="7" t="s">
        <v>20</v>
      </c>
    </row>
    <row r="2028" spans="1:12" x14ac:dyDescent="0.25">
      <c r="A2028" s="1" t="s">
        <v>0</v>
      </c>
      <c r="B2028" s="1" t="s">
        <v>1</v>
      </c>
      <c r="C2028" s="1" t="s">
        <v>2</v>
      </c>
      <c r="D2028" s="1" t="s">
        <v>3</v>
      </c>
      <c r="E2028" s="1" t="s">
        <v>4</v>
      </c>
      <c r="F2028" s="2" t="s">
        <v>5</v>
      </c>
      <c r="G2028" s="3" t="s">
        <v>6</v>
      </c>
      <c r="H2028" s="3" t="s">
        <v>7</v>
      </c>
      <c r="I2028" s="6" t="s">
        <v>8</v>
      </c>
      <c r="J2028" s="2" t="s">
        <v>9</v>
      </c>
      <c r="K2028" s="3" t="s">
        <v>10</v>
      </c>
      <c r="L2028" s="2" t="s">
        <v>9</v>
      </c>
    </row>
    <row r="2029" spans="1:12" x14ac:dyDescent="0.25">
      <c r="A2029" s="4">
        <v>45862</v>
      </c>
      <c r="B2029" t="s">
        <v>888</v>
      </c>
      <c r="G2029" t="s">
        <v>889</v>
      </c>
      <c r="I2029" s="7" t="s">
        <v>16</v>
      </c>
    </row>
    <row r="2031" spans="1:12" x14ac:dyDescent="0.25">
      <c r="I2031" s="7" t="s">
        <v>20</v>
      </c>
      <c r="J2031" s="5">
        <v>220000</v>
      </c>
    </row>
    <row r="2033" spans="1:12" x14ac:dyDescent="0.25">
      <c r="A2033" s="1" t="s">
        <v>0</v>
      </c>
      <c r="B2033" s="1" t="s">
        <v>1</v>
      </c>
      <c r="C2033" s="1" t="s">
        <v>2</v>
      </c>
      <c r="D2033" s="1" t="s">
        <v>3</v>
      </c>
      <c r="E2033" s="1" t="s">
        <v>4</v>
      </c>
      <c r="F2033" s="2" t="s">
        <v>5</v>
      </c>
      <c r="G2033" s="3" t="s">
        <v>6</v>
      </c>
      <c r="H2033" s="3" t="s">
        <v>7</v>
      </c>
      <c r="I2033" s="6" t="s">
        <v>8</v>
      </c>
      <c r="J2033" s="2" t="s">
        <v>9</v>
      </c>
      <c r="K2033" s="3" t="s">
        <v>10</v>
      </c>
      <c r="L2033" s="2" t="s">
        <v>9</v>
      </c>
    </row>
    <row r="2034" spans="1:12" x14ac:dyDescent="0.25">
      <c r="A2034" s="4">
        <v>45862</v>
      </c>
      <c r="B2034" t="s">
        <v>890</v>
      </c>
      <c r="C2034" t="s">
        <v>891</v>
      </c>
      <c r="D2034" t="s">
        <v>153</v>
      </c>
      <c r="E2034">
        <v>2023</v>
      </c>
      <c r="F2034" s="5">
        <v>23493</v>
      </c>
      <c r="G2034" t="s">
        <v>892</v>
      </c>
      <c r="H2034">
        <v>3208862644</v>
      </c>
      <c r="I2034" s="7" t="s">
        <v>17</v>
      </c>
      <c r="J2034" s="5">
        <v>105000</v>
      </c>
    </row>
    <row r="2035" spans="1:12" x14ac:dyDescent="0.25">
      <c r="I2035" s="7" t="s">
        <v>18</v>
      </c>
      <c r="J2035" s="5">
        <v>18000</v>
      </c>
    </row>
    <row r="2036" spans="1:12" x14ac:dyDescent="0.25">
      <c r="I2036" s="7" t="s">
        <v>48</v>
      </c>
      <c r="J2036" s="5">
        <v>35000</v>
      </c>
    </row>
    <row r="2037" spans="1:12" x14ac:dyDescent="0.25">
      <c r="I2037" s="7" t="s">
        <v>25</v>
      </c>
      <c r="J2037" s="5">
        <v>35000</v>
      </c>
    </row>
    <row r="2038" spans="1:12" x14ac:dyDescent="0.25">
      <c r="I2038" s="7" t="s">
        <v>100</v>
      </c>
      <c r="J2038" s="5">
        <v>70000</v>
      </c>
    </row>
    <row r="2040" spans="1:12" x14ac:dyDescent="0.25">
      <c r="I2040" s="7" t="s">
        <v>893</v>
      </c>
      <c r="J2040" s="5">
        <f>SUM(J2034:J2039)</f>
        <v>263000</v>
      </c>
    </row>
    <row r="2042" spans="1:12" x14ac:dyDescent="0.25">
      <c r="A2042" s="1" t="s">
        <v>0</v>
      </c>
      <c r="B2042" s="1" t="s">
        <v>1</v>
      </c>
      <c r="C2042" s="1" t="s">
        <v>2</v>
      </c>
      <c r="D2042" s="1" t="s">
        <v>3</v>
      </c>
      <c r="E2042" s="1" t="s">
        <v>4</v>
      </c>
      <c r="F2042" s="2" t="s">
        <v>5</v>
      </c>
      <c r="G2042" s="3" t="s">
        <v>6</v>
      </c>
      <c r="H2042" s="3" t="s">
        <v>7</v>
      </c>
      <c r="I2042" s="6" t="s">
        <v>8</v>
      </c>
      <c r="J2042" s="2" t="s">
        <v>9</v>
      </c>
      <c r="K2042" s="3" t="s">
        <v>10</v>
      </c>
      <c r="L2042" s="2" t="s">
        <v>9</v>
      </c>
    </row>
    <row r="2043" spans="1:12" x14ac:dyDescent="0.25">
      <c r="A2043" s="4">
        <v>45862</v>
      </c>
      <c r="B2043" t="s">
        <v>94</v>
      </c>
      <c r="C2043" t="s">
        <v>874</v>
      </c>
      <c r="I2043" s="7" t="s">
        <v>875</v>
      </c>
      <c r="J2043" s="5">
        <v>270000</v>
      </c>
    </row>
    <row r="2044" spans="1:12" x14ac:dyDescent="0.25">
      <c r="I2044" s="7" t="s">
        <v>227</v>
      </c>
      <c r="J2044" s="5">
        <v>48000</v>
      </c>
    </row>
    <row r="2045" spans="1:12" x14ac:dyDescent="0.25">
      <c r="I2045" s="7" t="s">
        <v>876</v>
      </c>
      <c r="J2045" s="5">
        <v>60000</v>
      </c>
    </row>
    <row r="2046" spans="1:12" x14ac:dyDescent="0.25">
      <c r="I2046" s="7" t="s">
        <v>230</v>
      </c>
      <c r="J2046" s="5">
        <v>16000</v>
      </c>
    </row>
    <row r="2047" spans="1:12" x14ac:dyDescent="0.25">
      <c r="I2047" s="7" t="s">
        <v>210</v>
      </c>
      <c r="J2047" s="5">
        <v>48000</v>
      </c>
    </row>
    <row r="2048" spans="1:12" x14ac:dyDescent="0.25">
      <c r="I2048" s="7" t="s">
        <v>877</v>
      </c>
      <c r="J2048" s="5">
        <v>30000</v>
      </c>
    </row>
    <row r="2049" spans="1:12" x14ac:dyDescent="0.25">
      <c r="I2049" s="7" t="s">
        <v>125</v>
      </c>
      <c r="J2049" s="5">
        <v>45000</v>
      </c>
    </row>
    <row r="2050" spans="1:12" x14ac:dyDescent="0.25">
      <c r="I2050" s="7" t="s">
        <v>879</v>
      </c>
      <c r="J2050" s="5">
        <v>250000</v>
      </c>
    </row>
    <row r="2051" spans="1:12" x14ac:dyDescent="0.25">
      <c r="I2051" s="7" t="s">
        <v>77</v>
      </c>
      <c r="J2051" s="5">
        <v>22000</v>
      </c>
    </row>
    <row r="2052" spans="1:12" x14ac:dyDescent="0.25">
      <c r="I2052" s="7" t="s">
        <v>878</v>
      </c>
      <c r="J2052" s="5">
        <v>40000</v>
      </c>
    </row>
    <row r="2054" spans="1:12" x14ac:dyDescent="0.25">
      <c r="I2054" s="7" t="s">
        <v>20</v>
      </c>
      <c r="J2054" s="5">
        <f>SUM(J2043:J2053)</f>
        <v>829000</v>
      </c>
    </row>
    <row r="2056" spans="1:12" x14ac:dyDescent="0.25">
      <c r="A2056" s="1" t="s">
        <v>0</v>
      </c>
      <c r="B2056" s="1" t="s">
        <v>1</v>
      </c>
      <c r="C2056" s="1" t="s">
        <v>2</v>
      </c>
      <c r="D2056" s="1" t="s">
        <v>3</v>
      </c>
      <c r="E2056" s="1" t="s">
        <v>4</v>
      </c>
      <c r="F2056" s="2" t="s">
        <v>5</v>
      </c>
      <c r="G2056" s="3" t="s">
        <v>6</v>
      </c>
      <c r="H2056" s="3" t="s">
        <v>7</v>
      </c>
      <c r="I2056" s="6" t="s">
        <v>8</v>
      </c>
      <c r="J2056" s="2" t="s">
        <v>9</v>
      </c>
      <c r="K2056" s="3" t="s">
        <v>10</v>
      </c>
      <c r="L2056" s="2" t="s">
        <v>9</v>
      </c>
    </row>
    <row r="2057" spans="1:12" x14ac:dyDescent="0.25">
      <c r="A2057" s="4">
        <v>45862</v>
      </c>
      <c r="B2057" t="s">
        <v>21</v>
      </c>
      <c r="C2057" t="s">
        <v>1240</v>
      </c>
      <c r="E2057">
        <v>2015</v>
      </c>
      <c r="F2057" s="5">
        <v>61528</v>
      </c>
      <c r="G2057" t="s">
        <v>1241</v>
      </c>
      <c r="H2057">
        <v>3208004965</v>
      </c>
      <c r="I2057" s="7" t="s">
        <v>1242</v>
      </c>
    </row>
    <row r="2059" spans="1:12" x14ac:dyDescent="0.25">
      <c r="I2059" s="7" t="s">
        <v>20</v>
      </c>
    </row>
    <row r="2061" spans="1:12" x14ac:dyDescent="0.25">
      <c r="A2061" s="1" t="s">
        <v>0</v>
      </c>
      <c r="B2061" s="1" t="s">
        <v>1</v>
      </c>
      <c r="C2061" s="1" t="s">
        <v>2</v>
      </c>
      <c r="D2061" s="1" t="s">
        <v>3</v>
      </c>
      <c r="E2061" s="1" t="s">
        <v>4</v>
      </c>
      <c r="F2061" s="2" t="s">
        <v>5</v>
      </c>
      <c r="G2061" s="3" t="s">
        <v>6</v>
      </c>
      <c r="H2061" s="3" t="s">
        <v>7</v>
      </c>
      <c r="I2061" s="6" t="s">
        <v>8</v>
      </c>
      <c r="J2061" s="2" t="s">
        <v>9</v>
      </c>
      <c r="K2061" s="3" t="s">
        <v>10</v>
      </c>
      <c r="L2061" s="2" t="s">
        <v>9</v>
      </c>
    </row>
    <row r="2062" spans="1:12" x14ac:dyDescent="0.25">
      <c r="A2062" s="4">
        <v>45863</v>
      </c>
      <c r="B2062" t="s">
        <v>183</v>
      </c>
      <c r="G2062" t="s">
        <v>556</v>
      </c>
      <c r="I2062" s="7" t="s">
        <v>743</v>
      </c>
      <c r="J2062" s="5">
        <v>1200000</v>
      </c>
    </row>
    <row r="2063" spans="1:12" x14ac:dyDescent="0.25">
      <c r="I2063" s="7" t="s">
        <v>100</v>
      </c>
      <c r="J2063" s="5">
        <v>180000</v>
      </c>
    </row>
    <row r="2064" spans="1:12" x14ac:dyDescent="0.25">
      <c r="I2064" s="7" t="s">
        <v>880</v>
      </c>
      <c r="J2064" s="5">
        <v>90000</v>
      </c>
    </row>
    <row r="2065" spans="1:12" x14ac:dyDescent="0.25">
      <c r="I2065" s="7" t="s">
        <v>169</v>
      </c>
      <c r="J2065" s="5">
        <v>40000</v>
      </c>
    </row>
    <row r="2066" spans="1:12" x14ac:dyDescent="0.25">
      <c r="I2066" s="7" t="s">
        <v>881</v>
      </c>
      <c r="J2066" s="5">
        <v>80000</v>
      </c>
    </row>
    <row r="2067" spans="1:12" x14ac:dyDescent="0.25">
      <c r="I2067" s="7" t="s">
        <v>77</v>
      </c>
      <c r="J2067" s="5">
        <v>22000</v>
      </c>
    </row>
    <row r="2069" spans="1:12" x14ac:dyDescent="0.25">
      <c r="I2069" s="7" t="s">
        <v>20</v>
      </c>
      <c r="J2069" s="5">
        <f>SUM(J2062:J2068)</f>
        <v>1612000</v>
      </c>
    </row>
    <row r="2071" spans="1:12" x14ac:dyDescent="0.25">
      <c r="A2071" s="1" t="s">
        <v>0</v>
      </c>
      <c r="B2071" s="1" t="s">
        <v>1</v>
      </c>
      <c r="C2071" s="1" t="s">
        <v>2</v>
      </c>
      <c r="D2071" s="1" t="s">
        <v>3</v>
      </c>
      <c r="E2071" s="1" t="s">
        <v>4</v>
      </c>
      <c r="F2071" s="2" t="s">
        <v>5</v>
      </c>
      <c r="G2071" s="3" t="s">
        <v>6</v>
      </c>
      <c r="H2071" s="3" t="s">
        <v>7</v>
      </c>
      <c r="I2071" s="6" t="s">
        <v>8</v>
      </c>
      <c r="J2071" s="2" t="s">
        <v>9</v>
      </c>
      <c r="K2071" s="3" t="s">
        <v>10</v>
      </c>
      <c r="L2071" s="2" t="s">
        <v>9</v>
      </c>
    </row>
    <row r="2072" spans="1:12" x14ac:dyDescent="0.25">
      <c r="A2072" s="4">
        <v>45863</v>
      </c>
      <c r="B2072" t="s">
        <v>490</v>
      </c>
      <c r="C2072" t="s">
        <v>491</v>
      </c>
      <c r="E2072">
        <v>2025</v>
      </c>
      <c r="G2072" t="s">
        <v>1250</v>
      </c>
      <c r="H2072">
        <v>3022291584</v>
      </c>
      <c r="I2072" s="7" t="s">
        <v>920</v>
      </c>
    </row>
    <row r="2073" spans="1:12" x14ac:dyDescent="0.25">
      <c r="I2073" s="7" t="s">
        <v>77</v>
      </c>
    </row>
    <row r="2074" spans="1:12" x14ac:dyDescent="0.25">
      <c r="I2074" s="7" t="s">
        <v>1251</v>
      </c>
    </row>
    <row r="2076" spans="1:12" x14ac:dyDescent="0.25">
      <c r="I2076" s="7" t="s">
        <v>20</v>
      </c>
    </row>
    <row r="2078" spans="1:12" x14ac:dyDescent="0.25">
      <c r="A2078" s="1" t="s">
        <v>0</v>
      </c>
      <c r="B2078" s="1" t="s">
        <v>1</v>
      </c>
      <c r="C2078" s="1" t="s">
        <v>2</v>
      </c>
      <c r="D2078" s="1" t="s">
        <v>3</v>
      </c>
      <c r="E2078" s="1" t="s">
        <v>4</v>
      </c>
      <c r="F2078" s="2" t="s">
        <v>5</v>
      </c>
      <c r="G2078" s="3" t="s">
        <v>6</v>
      </c>
      <c r="H2078" s="3" t="s">
        <v>7</v>
      </c>
      <c r="I2078" s="6" t="s">
        <v>8</v>
      </c>
      <c r="J2078" s="2" t="s">
        <v>9</v>
      </c>
      <c r="K2078" s="3" t="s">
        <v>10</v>
      </c>
      <c r="L2078" s="2" t="s">
        <v>9</v>
      </c>
    </row>
    <row r="2079" spans="1:12" x14ac:dyDescent="0.25">
      <c r="A2079" s="4">
        <v>45863</v>
      </c>
      <c r="B2079" t="s">
        <v>246</v>
      </c>
      <c r="C2079" t="s">
        <v>894</v>
      </c>
      <c r="E2079">
        <v>2018</v>
      </c>
      <c r="F2079" s="5">
        <v>57000</v>
      </c>
      <c r="G2079" t="s">
        <v>896</v>
      </c>
      <c r="H2079">
        <v>3118827349</v>
      </c>
      <c r="I2079" s="7" t="s">
        <v>210</v>
      </c>
      <c r="J2079" s="5">
        <v>180000</v>
      </c>
    </row>
    <row r="2080" spans="1:12" x14ac:dyDescent="0.25">
      <c r="C2080" t="s">
        <v>895</v>
      </c>
      <c r="I2080" s="7" t="s">
        <v>227</v>
      </c>
      <c r="J2080" s="5">
        <v>69400</v>
      </c>
    </row>
    <row r="2081" spans="1:12" x14ac:dyDescent="0.25">
      <c r="I2081" s="7" t="s">
        <v>825</v>
      </c>
      <c r="J2081" s="5">
        <v>30000</v>
      </c>
    </row>
    <row r="2082" spans="1:12" x14ac:dyDescent="0.25">
      <c r="I2082" s="7" t="s">
        <v>100</v>
      </c>
      <c r="J2082" s="5">
        <v>150000</v>
      </c>
    </row>
    <row r="2083" spans="1:12" x14ac:dyDescent="0.25">
      <c r="I2083" s="7" t="s">
        <v>17</v>
      </c>
      <c r="J2083" s="5">
        <v>92000</v>
      </c>
    </row>
    <row r="2084" spans="1:12" x14ac:dyDescent="0.25">
      <c r="I2084" s="7" t="s">
        <v>18</v>
      </c>
      <c r="J2084" s="5">
        <v>16000</v>
      </c>
    </row>
    <row r="2086" spans="1:12" x14ac:dyDescent="0.25">
      <c r="I2086" s="7" t="s">
        <v>20</v>
      </c>
      <c r="J2086" s="5">
        <f>SUM(J2079:J2085)</f>
        <v>537400</v>
      </c>
    </row>
    <row r="2088" spans="1:12" x14ac:dyDescent="0.25">
      <c r="A2088" s="1" t="s">
        <v>0</v>
      </c>
      <c r="B2088" s="1" t="s">
        <v>1</v>
      </c>
      <c r="C2088" s="1" t="s">
        <v>2</v>
      </c>
      <c r="D2088" s="1" t="s">
        <v>3</v>
      </c>
      <c r="E2088" s="1" t="s">
        <v>4</v>
      </c>
      <c r="F2088" s="2" t="s">
        <v>5</v>
      </c>
      <c r="G2088" s="3" t="s">
        <v>6</v>
      </c>
      <c r="H2088" s="3" t="s">
        <v>7</v>
      </c>
      <c r="I2088" s="6" t="s">
        <v>8</v>
      </c>
      <c r="J2088" s="2" t="s">
        <v>9</v>
      </c>
      <c r="K2088" s="3" t="s">
        <v>10</v>
      </c>
      <c r="L2088" s="2" t="s">
        <v>9</v>
      </c>
    </row>
    <row r="2089" spans="1:12" x14ac:dyDescent="0.25">
      <c r="A2089" s="4">
        <v>45864</v>
      </c>
      <c r="B2089" t="s">
        <v>897</v>
      </c>
      <c r="C2089" t="s">
        <v>898</v>
      </c>
      <c r="D2089" t="s">
        <v>53</v>
      </c>
      <c r="G2089" t="s">
        <v>899</v>
      </c>
      <c r="I2089" s="7" t="s">
        <v>900</v>
      </c>
      <c r="J2089" s="5">
        <v>250000</v>
      </c>
    </row>
    <row r="2090" spans="1:12" x14ac:dyDescent="0.25">
      <c r="I2090" s="7" t="s">
        <v>25</v>
      </c>
      <c r="J2090" s="5">
        <v>390000</v>
      </c>
    </row>
    <row r="2092" spans="1:12" x14ac:dyDescent="0.25">
      <c r="I2092" s="7" t="s">
        <v>20</v>
      </c>
      <c r="J2092" s="5">
        <f>SUM(J2089:J2091)</f>
        <v>640000</v>
      </c>
    </row>
    <row r="2094" spans="1:12" x14ac:dyDescent="0.25">
      <c r="A2094" s="1" t="s">
        <v>0</v>
      </c>
      <c r="B2094" s="1" t="s">
        <v>1</v>
      </c>
      <c r="C2094" s="1" t="s">
        <v>2</v>
      </c>
      <c r="D2094" s="1" t="s">
        <v>3</v>
      </c>
      <c r="E2094" s="1" t="s">
        <v>4</v>
      </c>
      <c r="F2094" s="2" t="s">
        <v>5</v>
      </c>
      <c r="G2094" s="3" t="s">
        <v>6</v>
      </c>
      <c r="H2094" s="3" t="s">
        <v>7</v>
      </c>
      <c r="I2094" s="6" t="s">
        <v>8</v>
      </c>
      <c r="J2094" s="2" t="s">
        <v>9</v>
      </c>
      <c r="K2094" s="3" t="s">
        <v>10</v>
      </c>
      <c r="L2094" s="2" t="s">
        <v>9</v>
      </c>
    </row>
    <row r="2095" spans="1:12" x14ac:dyDescent="0.25">
      <c r="A2095" s="4">
        <v>45864</v>
      </c>
      <c r="B2095" t="s">
        <v>21</v>
      </c>
      <c r="C2095" t="s">
        <v>867</v>
      </c>
      <c r="D2095" t="s">
        <v>29</v>
      </c>
      <c r="F2095" s="5">
        <v>42684</v>
      </c>
      <c r="G2095" t="s">
        <v>868</v>
      </c>
      <c r="I2095" s="7" t="s">
        <v>16</v>
      </c>
      <c r="J2095" s="5">
        <v>390000</v>
      </c>
    </row>
    <row r="2096" spans="1:12" x14ac:dyDescent="0.25">
      <c r="I2096" s="7" t="s">
        <v>150</v>
      </c>
      <c r="J2096" s="5">
        <v>150000</v>
      </c>
    </row>
    <row r="2097" spans="1:12" x14ac:dyDescent="0.25">
      <c r="I2097" s="7" t="s">
        <v>746</v>
      </c>
      <c r="J2097" s="5">
        <v>150000</v>
      </c>
    </row>
    <row r="2098" spans="1:12" x14ac:dyDescent="0.25">
      <c r="I2098" s="7" t="s">
        <v>252</v>
      </c>
      <c r="J2098" s="5">
        <v>150000</v>
      </c>
    </row>
    <row r="2099" spans="1:12" x14ac:dyDescent="0.25">
      <c r="I2099" s="7" t="s">
        <v>77</v>
      </c>
      <c r="J2099" s="5">
        <v>22000</v>
      </c>
    </row>
    <row r="2100" spans="1:12" x14ac:dyDescent="0.25">
      <c r="I2100" s="7" t="s">
        <v>17</v>
      </c>
      <c r="J2100" s="5">
        <v>192000</v>
      </c>
    </row>
    <row r="2101" spans="1:12" x14ac:dyDescent="0.25">
      <c r="I2101" s="7" t="s">
        <v>18</v>
      </c>
      <c r="J2101" s="5">
        <v>46000</v>
      </c>
    </row>
    <row r="2102" spans="1:12" x14ac:dyDescent="0.25">
      <c r="I2102" s="7" t="s">
        <v>869</v>
      </c>
      <c r="J2102" s="5">
        <v>180000</v>
      </c>
    </row>
    <row r="2103" spans="1:12" x14ac:dyDescent="0.25">
      <c r="I2103" s="7" t="s">
        <v>25</v>
      </c>
      <c r="J2103" s="5">
        <v>240000</v>
      </c>
    </row>
    <row r="2105" spans="1:12" x14ac:dyDescent="0.25">
      <c r="I2105" s="7" t="s">
        <v>20</v>
      </c>
      <c r="J2105" s="5">
        <f>SUM(J2095:J2104)</f>
        <v>1520000</v>
      </c>
    </row>
    <row r="2107" spans="1:12" x14ac:dyDescent="0.25">
      <c r="A2107" s="1" t="s">
        <v>0</v>
      </c>
      <c r="B2107" s="1" t="s">
        <v>1</v>
      </c>
      <c r="C2107" s="1" t="s">
        <v>2</v>
      </c>
      <c r="D2107" s="1" t="s">
        <v>3</v>
      </c>
      <c r="E2107" s="1" t="s">
        <v>4</v>
      </c>
      <c r="F2107" s="2" t="s">
        <v>5</v>
      </c>
      <c r="G2107" s="3" t="s">
        <v>6</v>
      </c>
      <c r="H2107" s="3" t="s">
        <v>7</v>
      </c>
      <c r="I2107" s="6" t="s">
        <v>8</v>
      </c>
      <c r="J2107" s="2" t="s">
        <v>9</v>
      </c>
      <c r="K2107" s="3" t="s">
        <v>10</v>
      </c>
      <c r="L2107" s="2" t="s">
        <v>9</v>
      </c>
    </row>
    <row r="2108" spans="1:12" x14ac:dyDescent="0.25">
      <c r="A2108" s="4">
        <v>45866</v>
      </c>
      <c r="B2108" t="s">
        <v>901</v>
      </c>
      <c r="C2108" t="s">
        <v>516</v>
      </c>
      <c r="D2108" t="s">
        <v>153</v>
      </c>
      <c r="F2108" s="5">
        <v>92273</v>
      </c>
      <c r="G2108" t="s">
        <v>517</v>
      </c>
      <c r="I2108" s="7" t="s">
        <v>48</v>
      </c>
      <c r="J2108" s="5">
        <v>120000</v>
      </c>
    </row>
    <row r="2109" spans="1:12" x14ac:dyDescent="0.25">
      <c r="I2109" s="7" t="s">
        <v>902</v>
      </c>
      <c r="J2109" s="5">
        <v>40000</v>
      </c>
    </row>
    <row r="2110" spans="1:12" x14ac:dyDescent="0.25">
      <c r="I2110" s="7" t="s">
        <v>809</v>
      </c>
      <c r="J2110" s="5">
        <v>250000</v>
      </c>
    </row>
    <row r="2111" spans="1:12" x14ac:dyDescent="0.25">
      <c r="I2111" s="7" t="s">
        <v>100</v>
      </c>
      <c r="J2111" s="5">
        <v>150000</v>
      </c>
    </row>
    <row r="2112" spans="1:12" x14ac:dyDescent="0.25">
      <c r="I2112" s="7" t="s">
        <v>745</v>
      </c>
      <c r="J2112" s="5">
        <v>150000</v>
      </c>
    </row>
    <row r="2114" spans="1:12" x14ac:dyDescent="0.25">
      <c r="I2114" s="7" t="s">
        <v>20</v>
      </c>
      <c r="J2114" s="5">
        <f>SUM(J2108:J2113)</f>
        <v>710000</v>
      </c>
    </row>
    <row r="2116" spans="1:12" x14ac:dyDescent="0.25">
      <c r="A2116" s="1" t="s">
        <v>0</v>
      </c>
      <c r="B2116" s="1" t="s">
        <v>1</v>
      </c>
      <c r="C2116" s="1" t="s">
        <v>2</v>
      </c>
      <c r="D2116" s="1" t="s">
        <v>3</v>
      </c>
      <c r="E2116" s="1" t="s">
        <v>4</v>
      </c>
      <c r="F2116" s="2" t="s">
        <v>5</v>
      </c>
      <c r="G2116" s="3" t="s">
        <v>6</v>
      </c>
      <c r="H2116" s="3" t="s">
        <v>7</v>
      </c>
      <c r="I2116" s="6" t="s">
        <v>8</v>
      </c>
      <c r="J2116" s="2" t="s">
        <v>9</v>
      </c>
      <c r="K2116" s="3" t="s">
        <v>10</v>
      </c>
      <c r="L2116" s="2" t="s">
        <v>9</v>
      </c>
    </row>
    <row r="2117" spans="1:12" x14ac:dyDescent="0.25">
      <c r="A2117" s="4">
        <v>45867</v>
      </c>
      <c r="B2117" t="s">
        <v>40</v>
      </c>
      <c r="C2117" t="s">
        <v>784</v>
      </c>
      <c r="D2117" t="s">
        <v>84</v>
      </c>
      <c r="E2117">
        <v>2012</v>
      </c>
      <c r="F2117" s="5">
        <v>104033</v>
      </c>
      <c r="G2117" t="s">
        <v>785</v>
      </c>
      <c r="I2117" s="7" t="s">
        <v>356</v>
      </c>
      <c r="J2117" s="5">
        <v>1200000</v>
      </c>
    </row>
    <row r="2118" spans="1:12" x14ac:dyDescent="0.25">
      <c r="I2118" s="7" t="s">
        <v>786</v>
      </c>
      <c r="J2118" s="5">
        <v>125000</v>
      </c>
    </row>
    <row r="2119" spans="1:12" x14ac:dyDescent="0.25">
      <c r="I2119" s="7" t="s">
        <v>787</v>
      </c>
      <c r="J2119" s="5">
        <v>50000</v>
      </c>
    </row>
    <row r="2120" spans="1:12" x14ac:dyDescent="0.25">
      <c r="I2120" s="7" t="s">
        <v>788</v>
      </c>
      <c r="J2120" s="5">
        <v>742000</v>
      </c>
    </row>
    <row r="2121" spans="1:12" x14ac:dyDescent="0.25">
      <c r="I2121" s="7" t="s">
        <v>285</v>
      </c>
      <c r="J2121" s="5">
        <v>80000</v>
      </c>
    </row>
    <row r="2122" spans="1:12" x14ac:dyDescent="0.25">
      <c r="I2122" s="7" t="s">
        <v>327</v>
      </c>
      <c r="J2122" s="5">
        <v>39000</v>
      </c>
    </row>
    <row r="2123" spans="1:12" x14ac:dyDescent="0.25">
      <c r="I2123" s="7" t="s">
        <v>649</v>
      </c>
      <c r="J2123" s="5">
        <v>40000</v>
      </c>
    </row>
    <row r="2124" spans="1:12" x14ac:dyDescent="0.25">
      <c r="I2124" s="7" t="s">
        <v>789</v>
      </c>
      <c r="J2124" s="5">
        <v>8000</v>
      </c>
    </row>
    <row r="2125" spans="1:12" x14ac:dyDescent="0.25">
      <c r="I2125" s="7" t="s">
        <v>790</v>
      </c>
      <c r="J2125" s="5">
        <v>140000</v>
      </c>
    </row>
    <row r="2126" spans="1:12" x14ac:dyDescent="0.25">
      <c r="I2126" s="7" t="s">
        <v>791</v>
      </c>
      <c r="J2126" s="5">
        <v>35000</v>
      </c>
    </row>
    <row r="2127" spans="1:12" x14ac:dyDescent="0.25">
      <c r="I2127" s="7" t="s">
        <v>792</v>
      </c>
    </row>
    <row r="2128" spans="1:12" x14ac:dyDescent="0.25">
      <c r="I2128" s="7" t="s">
        <v>399</v>
      </c>
    </row>
    <row r="2129" spans="1:12" x14ac:dyDescent="0.25">
      <c r="I2129" s="7" t="s">
        <v>793</v>
      </c>
    </row>
    <row r="2130" spans="1:12" x14ac:dyDescent="0.25">
      <c r="I2130" s="7" t="s">
        <v>794</v>
      </c>
    </row>
    <row r="2131" spans="1:12" x14ac:dyDescent="0.25">
      <c r="I2131" s="7" t="s">
        <v>200</v>
      </c>
    </row>
    <row r="2133" spans="1:12" x14ac:dyDescent="0.25">
      <c r="I2133" s="7" t="s">
        <v>20</v>
      </c>
      <c r="J2133" s="5">
        <f>SUM(J2117:J2132)</f>
        <v>2459000</v>
      </c>
    </row>
    <row r="2135" spans="1:12" x14ac:dyDescent="0.25">
      <c r="A2135" s="1" t="s">
        <v>0</v>
      </c>
      <c r="B2135" s="1" t="s">
        <v>1</v>
      </c>
      <c r="C2135" s="1" t="s">
        <v>2</v>
      </c>
      <c r="D2135" s="1" t="s">
        <v>3</v>
      </c>
      <c r="E2135" s="1" t="s">
        <v>4</v>
      </c>
      <c r="F2135" s="2" t="s">
        <v>5</v>
      </c>
      <c r="G2135" s="3" t="s">
        <v>6</v>
      </c>
      <c r="H2135" s="3" t="s">
        <v>7</v>
      </c>
      <c r="I2135" s="6" t="s">
        <v>8</v>
      </c>
      <c r="J2135" s="2" t="s">
        <v>9</v>
      </c>
      <c r="K2135" s="3" t="s">
        <v>10</v>
      </c>
      <c r="L2135" s="2" t="s">
        <v>9</v>
      </c>
    </row>
    <row r="2136" spans="1:12" x14ac:dyDescent="0.25">
      <c r="A2136" s="4">
        <v>45867</v>
      </c>
      <c r="B2136" t="s">
        <v>1268</v>
      </c>
      <c r="C2136" t="s">
        <v>1269</v>
      </c>
      <c r="D2136" t="s">
        <v>53</v>
      </c>
      <c r="G2136" t="s">
        <v>1270</v>
      </c>
      <c r="I2136" s="7" t="s">
        <v>1271</v>
      </c>
    </row>
    <row r="2137" spans="1:12" x14ac:dyDescent="0.25">
      <c r="I2137" s="7" t="s">
        <v>1272</v>
      </c>
    </row>
    <row r="2138" spans="1:12" x14ac:dyDescent="0.25">
      <c r="I2138" s="7" t="s">
        <v>1273</v>
      </c>
    </row>
    <row r="2139" spans="1:12" x14ac:dyDescent="0.25">
      <c r="I2139" s="7" t="s">
        <v>1274</v>
      </c>
    </row>
    <row r="2141" spans="1:12" x14ac:dyDescent="0.25">
      <c r="I2141" s="7" t="s">
        <v>20</v>
      </c>
    </row>
    <row r="2143" spans="1:12" x14ac:dyDescent="0.25">
      <c r="A2143" s="1" t="s">
        <v>0</v>
      </c>
      <c r="B2143" s="1" t="s">
        <v>1</v>
      </c>
      <c r="C2143" s="1" t="s">
        <v>2</v>
      </c>
      <c r="D2143" s="1" t="s">
        <v>3</v>
      </c>
      <c r="E2143" s="1" t="s">
        <v>4</v>
      </c>
      <c r="F2143" s="2" t="s">
        <v>5</v>
      </c>
      <c r="G2143" s="3" t="s">
        <v>6</v>
      </c>
      <c r="H2143" s="3" t="s">
        <v>7</v>
      </c>
      <c r="I2143" s="6" t="s">
        <v>8</v>
      </c>
      <c r="J2143" s="2" t="s">
        <v>9</v>
      </c>
      <c r="K2143" s="3" t="s">
        <v>10</v>
      </c>
      <c r="L2143" s="2" t="s">
        <v>9</v>
      </c>
    </row>
    <row r="2144" spans="1:12" x14ac:dyDescent="0.25">
      <c r="A2144" s="4">
        <v>45868</v>
      </c>
      <c r="B2144" t="s">
        <v>21</v>
      </c>
      <c r="C2144" t="s">
        <v>949</v>
      </c>
      <c r="D2144" t="s">
        <v>29</v>
      </c>
      <c r="F2144" s="5">
        <v>28300</v>
      </c>
      <c r="G2144" t="s">
        <v>950</v>
      </c>
      <c r="I2144" s="7" t="s">
        <v>17</v>
      </c>
      <c r="J2144" s="5">
        <v>232000</v>
      </c>
    </row>
    <row r="2145" spans="1:12" x14ac:dyDescent="0.25">
      <c r="I2145" s="7" t="s">
        <v>18</v>
      </c>
      <c r="J2145" s="5">
        <v>46000</v>
      </c>
    </row>
    <row r="2146" spans="1:12" x14ac:dyDescent="0.25">
      <c r="I2146" s="7" t="s">
        <v>718</v>
      </c>
      <c r="J2146" s="5">
        <v>40000</v>
      </c>
    </row>
    <row r="2148" spans="1:12" x14ac:dyDescent="0.25">
      <c r="I2148" s="7" t="s">
        <v>893</v>
      </c>
      <c r="J2148" s="5">
        <f>SUM(J2144:J2147)</f>
        <v>318000</v>
      </c>
    </row>
    <row r="2150" spans="1:12" x14ac:dyDescent="0.25">
      <c r="A2150" s="1" t="s">
        <v>0</v>
      </c>
      <c r="B2150" s="1" t="s">
        <v>1</v>
      </c>
      <c r="C2150" s="1" t="s">
        <v>2</v>
      </c>
      <c r="D2150" s="1" t="s">
        <v>3</v>
      </c>
      <c r="E2150" s="1" t="s">
        <v>4</v>
      </c>
      <c r="F2150" s="2" t="s">
        <v>5</v>
      </c>
      <c r="G2150" s="3" t="s">
        <v>6</v>
      </c>
      <c r="H2150" s="3" t="s">
        <v>7</v>
      </c>
      <c r="I2150" s="6" t="s">
        <v>8</v>
      </c>
      <c r="J2150" s="2" t="s">
        <v>9</v>
      </c>
      <c r="K2150" s="3" t="s">
        <v>10</v>
      </c>
      <c r="L2150" s="2" t="s">
        <v>9</v>
      </c>
    </row>
    <row r="2151" spans="1:12" x14ac:dyDescent="0.25">
      <c r="A2151" s="4">
        <v>45868</v>
      </c>
      <c r="B2151" t="s">
        <v>21</v>
      </c>
      <c r="C2151" t="s">
        <v>951</v>
      </c>
      <c r="D2151" t="s">
        <v>952</v>
      </c>
      <c r="E2151">
        <v>2017</v>
      </c>
      <c r="F2151" s="5">
        <v>79285</v>
      </c>
      <c r="G2151" t="s">
        <v>560</v>
      </c>
      <c r="I2151" s="7" t="s">
        <v>920</v>
      </c>
      <c r="J2151" s="5">
        <v>390000</v>
      </c>
    </row>
    <row r="2152" spans="1:12" x14ac:dyDescent="0.25">
      <c r="I2152" s="7" t="s">
        <v>953</v>
      </c>
      <c r="J2152" s="5">
        <v>30000</v>
      </c>
    </row>
    <row r="2153" spans="1:12" x14ac:dyDescent="0.25">
      <c r="I2153" s="7" t="s">
        <v>954</v>
      </c>
      <c r="J2153" s="5">
        <v>240000</v>
      </c>
    </row>
    <row r="2154" spans="1:12" x14ac:dyDescent="0.25">
      <c r="I2154" s="7" t="s">
        <v>955</v>
      </c>
      <c r="J2154" s="5">
        <v>120000</v>
      </c>
    </row>
    <row r="2155" spans="1:12" x14ac:dyDescent="0.25">
      <c r="I2155" s="7" t="s">
        <v>77</v>
      </c>
      <c r="J2155" s="5">
        <v>22000</v>
      </c>
    </row>
    <row r="2156" spans="1:12" x14ac:dyDescent="0.25">
      <c r="I2156" s="7" t="s">
        <v>17</v>
      </c>
      <c r="J2156" s="5">
        <v>192000</v>
      </c>
    </row>
    <row r="2157" spans="1:12" x14ac:dyDescent="0.25">
      <c r="I2157" s="7" t="s">
        <v>18</v>
      </c>
      <c r="J2157" s="5">
        <v>46000</v>
      </c>
    </row>
    <row r="2158" spans="1:12" x14ac:dyDescent="0.25">
      <c r="I2158" s="7" t="s">
        <v>746</v>
      </c>
      <c r="J2158" s="5">
        <v>150000</v>
      </c>
    </row>
    <row r="2159" spans="1:12" x14ac:dyDescent="0.25">
      <c r="I2159" s="7" t="s">
        <v>266</v>
      </c>
      <c r="J2159" s="5">
        <v>120000</v>
      </c>
    </row>
    <row r="2161" spans="1:12" x14ac:dyDescent="0.25">
      <c r="I2161" s="7" t="s">
        <v>20</v>
      </c>
      <c r="J2161" s="5">
        <f>SUM(J2151:J2160)</f>
        <v>1310000</v>
      </c>
    </row>
    <row r="2163" spans="1:12" x14ac:dyDescent="0.25">
      <c r="A2163" s="1" t="s">
        <v>0</v>
      </c>
      <c r="B2163" s="1" t="s">
        <v>1</v>
      </c>
      <c r="C2163" s="1" t="s">
        <v>2</v>
      </c>
      <c r="D2163" s="1" t="s">
        <v>3</v>
      </c>
      <c r="E2163" s="1" t="s">
        <v>4</v>
      </c>
      <c r="F2163" s="2" t="s">
        <v>5</v>
      </c>
      <c r="G2163" s="3" t="s">
        <v>6</v>
      </c>
      <c r="H2163" s="3" t="s">
        <v>7</v>
      </c>
      <c r="I2163" s="6" t="s">
        <v>8</v>
      </c>
      <c r="J2163" s="2" t="s">
        <v>9</v>
      </c>
      <c r="K2163" s="3" t="s">
        <v>10</v>
      </c>
      <c r="L2163" s="2" t="s">
        <v>9</v>
      </c>
    </row>
    <row r="2164" spans="1:12" x14ac:dyDescent="0.25">
      <c r="A2164" s="4">
        <v>45868</v>
      </c>
      <c r="B2164" t="s">
        <v>956</v>
      </c>
      <c r="C2164" t="s">
        <v>957</v>
      </c>
      <c r="D2164" t="s">
        <v>29</v>
      </c>
      <c r="F2164" s="5">
        <v>9644</v>
      </c>
      <c r="I2164" s="7" t="s">
        <v>958</v>
      </c>
    </row>
    <row r="2165" spans="1:12" x14ac:dyDescent="0.25">
      <c r="I2165" s="7" t="s">
        <v>48</v>
      </c>
    </row>
    <row r="2166" spans="1:12" x14ac:dyDescent="0.25">
      <c r="I2166" s="7" t="s">
        <v>18</v>
      </c>
    </row>
    <row r="2167" spans="1:12" x14ac:dyDescent="0.25">
      <c r="I2167" s="7" t="s">
        <v>70</v>
      </c>
    </row>
    <row r="2169" spans="1:12" x14ac:dyDescent="0.25">
      <c r="I2169" s="7" t="s">
        <v>20</v>
      </c>
      <c r="J2169" s="5">
        <v>520000</v>
      </c>
    </row>
    <row r="2171" spans="1:12" x14ac:dyDescent="0.25">
      <c r="A2171" s="1" t="s">
        <v>0</v>
      </c>
      <c r="B2171" s="1" t="s">
        <v>1</v>
      </c>
      <c r="C2171" s="1" t="s">
        <v>2</v>
      </c>
      <c r="D2171" s="1" t="s">
        <v>3</v>
      </c>
      <c r="E2171" s="1" t="s">
        <v>4</v>
      </c>
      <c r="F2171" s="2" t="s">
        <v>5</v>
      </c>
      <c r="G2171" s="3" t="s">
        <v>6</v>
      </c>
      <c r="H2171" s="3" t="s">
        <v>7</v>
      </c>
      <c r="I2171" s="6" t="s">
        <v>8</v>
      </c>
      <c r="J2171" s="2" t="s">
        <v>9</v>
      </c>
      <c r="K2171" s="3" t="s">
        <v>10</v>
      </c>
      <c r="L2171" s="2" t="s">
        <v>9</v>
      </c>
    </row>
    <row r="2172" spans="1:12" x14ac:dyDescent="0.25">
      <c r="A2172" s="4">
        <v>45870</v>
      </c>
      <c r="B2172" t="s">
        <v>151</v>
      </c>
      <c r="C2172" t="s">
        <v>959</v>
      </c>
      <c r="D2172" t="s">
        <v>153</v>
      </c>
      <c r="F2172" s="5">
        <v>100739</v>
      </c>
      <c r="G2172" t="s">
        <v>960</v>
      </c>
      <c r="I2172" s="7" t="s">
        <v>920</v>
      </c>
      <c r="J2172" s="5">
        <v>330000</v>
      </c>
    </row>
    <row r="2173" spans="1:12" x14ac:dyDescent="0.25">
      <c r="I2173" s="7" t="s">
        <v>961</v>
      </c>
      <c r="J2173" s="5">
        <v>72100</v>
      </c>
    </row>
    <row r="2174" spans="1:12" x14ac:dyDescent="0.25">
      <c r="I2174" s="7" t="s">
        <v>77</v>
      </c>
      <c r="J2174" s="5">
        <v>22000</v>
      </c>
    </row>
    <row r="2175" spans="1:12" x14ac:dyDescent="0.25">
      <c r="I2175" s="7" t="s">
        <v>962</v>
      </c>
      <c r="J2175" s="5">
        <v>60000</v>
      </c>
    </row>
    <row r="2176" spans="1:12" x14ac:dyDescent="0.25">
      <c r="I2176" s="7" t="s">
        <v>48</v>
      </c>
      <c r="J2176" s="5">
        <v>109800</v>
      </c>
    </row>
    <row r="2177" spans="1:12" x14ac:dyDescent="0.25">
      <c r="I2177" s="7" t="s">
        <v>963</v>
      </c>
      <c r="J2177" s="5">
        <v>110000</v>
      </c>
    </row>
    <row r="2178" spans="1:12" x14ac:dyDescent="0.25">
      <c r="I2178" s="7" t="s">
        <v>887</v>
      </c>
      <c r="J2178" s="5">
        <v>80000</v>
      </c>
    </row>
    <row r="2179" spans="1:12" x14ac:dyDescent="0.25">
      <c r="I2179" s="7" t="s">
        <v>169</v>
      </c>
      <c r="J2179" s="5">
        <v>35000</v>
      </c>
    </row>
    <row r="2181" spans="1:12" x14ac:dyDescent="0.25">
      <c r="I2181" s="7" t="s">
        <v>20</v>
      </c>
      <c r="J2181" s="5">
        <f>SUM(J2172:J2180)</f>
        <v>818900</v>
      </c>
    </row>
    <row r="2183" spans="1:12" x14ac:dyDescent="0.25">
      <c r="A2183" s="1" t="s">
        <v>0</v>
      </c>
      <c r="B2183" s="1" t="s">
        <v>1</v>
      </c>
      <c r="C2183" s="1" t="s">
        <v>2</v>
      </c>
      <c r="D2183" s="1" t="s">
        <v>3</v>
      </c>
      <c r="E2183" s="1" t="s">
        <v>4</v>
      </c>
      <c r="F2183" s="2" t="s">
        <v>5</v>
      </c>
      <c r="G2183" s="3" t="s">
        <v>6</v>
      </c>
      <c r="H2183" s="3" t="s">
        <v>7</v>
      </c>
      <c r="I2183" s="6" t="s">
        <v>8</v>
      </c>
      <c r="J2183" s="2" t="s">
        <v>9</v>
      </c>
      <c r="K2183" s="3" t="s">
        <v>10</v>
      </c>
      <c r="L2183" s="2" t="s">
        <v>9</v>
      </c>
    </row>
    <row r="2184" spans="1:12" x14ac:dyDescent="0.25">
      <c r="A2184" s="4">
        <v>45870</v>
      </c>
      <c r="B2184" t="s">
        <v>964</v>
      </c>
      <c r="C2184" t="s">
        <v>965</v>
      </c>
      <c r="D2184" t="s">
        <v>29</v>
      </c>
      <c r="I2184" s="7" t="s">
        <v>17</v>
      </c>
      <c r="J2184" s="5">
        <v>48000</v>
      </c>
    </row>
    <row r="2185" spans="1:12" x14ac:dyDescent="0.25">
      <c r="I2185" s="7" t="s">
        <v>966</v>
      </c>
    </row>
    <row r="2186" spans="1:12" x14ac:dyDescent="0.25">
      <c r="I2186" s="7" t="s">
        <v>967</v>
      </c>
      <c r="J2186" s="5">
        <v>40000</v>
      </c>
    </row>
    <row r="2188" spans="1:12" x14ac:dyDescent="0.25">
      <c r="I2188" s="7" t="s">
        <v>20</v>
      </c>
      <c r="J2188" s="5">
        <f>SUM(J2184:J2187)</f>
        <v>88000</v>
      </c>
    </row>
    <row r="2190" spans="1:12" x14ac:dyDescent="0.25">
      <c r="A2190" s="1" t="s">
        <v>0</v>
      </c>
      <c r="B2190" s="1" t="s">
        <v>1</v>
      </c>
      <c r="C2190" s="1" t="s">
        <v>2</v>
      </c>
      <c r="D2190" s="1" t="s">
        <v>3</v>
      </c>
      <c r="E2190" s="1" t="s">
        <v>4</v>
      </c>
      <c r="F2190" s="2" t="s">
        <v>5</v>
      </c>
      <c r="G2190" s="3" t="s">
        <v>6</v>
      </c>
      <c r="H2190" s="3" t="s">
        <v>7</v>
      </c>
      <c r="I2190" s="6" t="s">
        <v>8</v>
      </c>
      <c r="J2190" s="2" t="s">
        <v>9</v>
      </c>
      <c r="K2190" s="3" t="s">
        <v>10</v>
      </c>
      <c r="L2190" s="2" t="s">
        <v>9</v>
      </c>
    </row>
    <row r="2191" spans="1:12" x14ac:dyDescent="0.25">
      <c r="A2191" s="4">
        <v>45870</v>
      </c>
      <c r="B2191" t="s">
        <v>596</v>
      </c>
      <c r="C2191" t="s">
        <v>968</v>
      </c>
      <c r="D2191" t="s">
        <v>153</v>
      </c>
      <c r="F2191" s="5">
        <v>36687</v>
      </c>
      <c r="G2191" t="s">
        <v>969</v>
      </c>
      <c r="H2191">
        <v>3132813869</v>
      </c>
      <c r="I2191" s="7" t="s">
        <v>920</v>
      </c>
      <c r="J2191" s="5">
        <v>200000</v>
      </c>
    </row>
    <row r="2192" spans="1:12" x14ac:dyDescent="0.25">
      <c r="I2192" s="7" t="s">
        <v>970</v>
      </c>
      <c r="J2192" s="5">
        <v>180000</v>
      </c>
    </row>
    <row r="2193" spans="1:12" x14ac:dyDescent="0.25">
      <c r="I2193" s="7" t="s">
        <v>971</v>
      </c>
      <c r="J2193" s="5">
        <v>70000</v>
      </c>
    </row>
    <row r="2194" spans="1:12" x14ac:dyDescent="0.25">
      <c r="I2194" s="7" t="s">
        <v>972</v>
      </c>
      <c r="J2194" s="5">
        <v>35000</v>
      </c>
    </row>
    <row r="2196" spans="1:12" x14ac:dyDescent="0.25">
      <c r="I2196" s="7" t="s">
        <v>20</v>
      </c>
      <c r="J2196" s="5">
        <f>SUM(J2191:J2195)</f>
        <v>485000</v>
      </c>
    </row>
    <row r="2198" spans="1:12" x14ac:dyDescent="0.25">
      <c r="A2198" s="1" t="s">
        <v>0</v>
      </c>
      <c r="B2198" s="1" t="s">
        <v>1</v>
      </c>
      <c r="C2198" s="1" t="s">
        <v>2</v>
      </c>
      <c r="D2198" s="1" t="s">
        <v>3</v>
      </c>
      <c r="E2198" s="1" t="s">
        <v>4</v>
      </c>
      <c r="F2198" s="2" t="s">
        <v>5</v>
      </c>
      <c r="G2198" s="3" t="s">
        <v>6</v>
      </c>
      <c r="H2198" s="3" t="s">
        <v>7</v>
      </c>
      <c r="I2198" s="6" t="s">
        <v>8</v>
      </c>
      <c r="J2198" s="2" t="s">
        <v>9</v>
      </c>
      <c r="K2198" s="3" t="s">
        <v>10</v>
      </c>
      <c r="L2198" s="2" t="s">
        <v>9</v>
      </c>
    </row>
    <row r="2199" spans="1:12" x14ac:dyDescent="0.25">
      <c r="A2199" s="4">
        <v>45870</v>
      </c>
      <c r="B2199" t="s">
        <v>393</v>
      </c>
      <c r="C2199" t="s">
        <v>973</v>
      </c>
      <c r="D2199" t="s">
        <v>322</v>
      </c>
      <c r="G2199" t="s">
        <v>974</v>
      </c>
      <c r="I2199" s="7" t="s">
        <v>172</v>
      </c>
      <c r="J2199" s="5">
        <v>228000</v>
      </c>
    </row>
    <row r="2200" spans="1:12" x14ac:dyDescent="0.25">
      <c r="I2200" s="7" t="s">
        <v>975</v>
      </c>
    </row>
    <row r="2201" spans="1:12" x14ac:dyDescent="0.25">
      <c r="I2201" s="7" t="s">
        <v>112</v>
      </c>
      <c r="J2201" s="5">
        <v>10000</v>
      </c>
    </row>
    <row r="2203" spans="1:12" x14ac:dyDescent="0.25">
      <c r="I2203" s="7" t="s">
        <v>20</v>
      </c>
      <c r="J2203" s="5">
        <f>SUM(J2199:J2202)</f>
        <v>238000</v>
      </c>
    </row>
    <row r="2205" spans="1:12" x14ac:dyDescent="0.25">
      <c r="A2205" s="1" t="s">
        <v>0</v>
      </c>
      <c r="B2205" s="1" t="s">
        <v>1</v>
      </c>
      <c r="C2205" s="1" t="s">
        <v>2</v>
      </c>
      <c r="D2205" s="1" t="s">
        <v>3</v>
      </c>
      <c r="E2205" s="1" t="s">
        <v>4</v>
      </c>
      <c r="F2205" s="2" t="s">
        <v>5</v>
      </c>
      <c r="G2205" s="3" t="s">
        <v>6</v>
      </c>
      <c r="H2205" s="3" t="s">
        <v>7</v>
      </c>
      <c r="I2205" s="6" t="s">
        <v>8</v>
      </c>
      <c r="J2205" s="2" t="s">
        <v>9</v>
      </c>
      <c r="K2205" s="3" t="s">
        <v>10</v>
      </c>
      <c r="L2205" s="2" t="s">
        <v>9</v>
      </c>
    </row>
    <row r="2206" spans="1:12" x14ac:dyDescent="0.25">
      <c r="A2206" s="4">
        <v>45870</v>
      </c>
      <c r="B2206" t="s">
        <v>40</v>
      </c>
      <c r="C2206" t="s">
        <v>976</v>
      </c>
      <c r="D2206" t="s">
        <v>977</v>
      </c>
      <c r="G2206" t="s">
        <v>14</v>
      </c>
      <c r="I2206" s="7" t="s">
        <v>92</v>
      </c>
      <c r="J2206" s="5">
        <v>390000</v>
      </c>
    </row>
    <row r="2207" spans="1:12" x14ac:dyDescent="0.25">
      <c r="I2207" s="7" t="s">
        <v>100</v>
      </c>
      <c r="J2207" s="5">
        <v>80000</v>
      </c>
    </row>
    <row r="2209" spans="1:12" x14ac:dyDescent="0.25">
      <c r="I2209" s="7" t="s">
        <v>20</v>
      </c>
      <c r="J2209" s="5">
        <f>SUM(J2206:J2208)</f>
        <v>470000</v>
      </c>
    </row>
    <row r="2211" spans="1:12" x14ac:dyDescent="0.25">
      <c r="A2211" s="1" t="s">
        <v>0</v>
      </c>
      <c r="B2211" s="1" t="s">
        <v>1</v>
      </c>
      <c r="C2211" s="1" t="s">
        <v>2</v>
      </c>
      <c r="D2211" s="1" t="s">
        <v>3</v>
      </c>
      <c r="E2211" s="1" t="s">
        <v>4</v>
      </c>
      <c r="F2211" s="2" t="s">
        <v>5</v>
      </c>
      <c r="G2211" s="3" t="s">
        <v>6</v>
      </c>
      <c r="H2211" s="3" t="s">
        <v>7</v>
      </c>
      <c r="I2211" s="6" t="s">
        <v>8</v>
      </c>
      <c r="J2211" s="2" t="s">
        <v>9</v>
      </c>
      <c r="K2211" s="3" t="s">
        <v>10</v>
      </c>
      <c r="L2211" s="2" t="s">
        <v>9</v>
      </c>
    </row>
    <row r="2212" spans="1:12" x14ac:dyDescent="0.25">
      <c r="A2212" s="4">
        <v>45870</v>
      </c>
      <c r="B2212" t="s">
        <v>978</v>
      </c>
      <c r="C2212" t="s">
        <v>979</v>
      </c>
      <c r="D2212" t="s">
        <v>53</v>
      </c>
      <c r="F2212" s="5">
        <v>42900</v>
      </c>
      <c r="I2212" s="7" t="s">
        <v>980</v>
      </c>
      <c r="J2212" s="5">
        <v>230000</v>
      </c>
    </row>
    <row r="2213" spans="1:12" x14ac:dyDescent="0.25">
      <c r="I2213" s="7" t="s">
        <v>981</v>
      </c>
      <c r="J2213" s="5">
        <v>150000</v>
      </c>
    </row>
    <row r="2214" spans="1:12" x14ac:dyDescent="0.25">
      <c r="I2214" s="7" t="s">
        <v>982</v>
      </c>
      <c r="J2214" s="5">
        <v>120000</v>
      </c>
    </row>
    <row r="2216" spans="1:12" x14ac:dyDescent="0.25">
      <c r="I2216" s="7" t="s">
        <v>20</v>
      </c>
      <c r="J2216" s="5">
        <f>SUM(J2212:J2215)</f>
        <v>500000</v>
      </c>
    </row>
    <row r="2218" spans="1:12" x14ac:dyDescent="0.25">
      <c r="A2218" s="1" t="s">
        <v>0</v>
      </c>
      <c r="B2218" s="1" t="s">
        <v>1</v>
      </c>
      <c r="C2218" s="1" t="s">
        <v>2</v>
      </c>
      <c r="D2218" s="1" t="s">
        <v>3</v>
      </c>
      <c r="E2218" s="1" t="s">
        <v>4</v>
      </c>
      <c r="F2218" s="2" t="s">
        <v>5</v>
      </c>
      <c r="G2218" s="3" t="s">
        <v>6</v>
      </c>
      <c r="H2218" s="3" t="s">
        <v>7</v>
      </c>
      <c r="I2218" s="6" t="s">
        <v>8</v>
      </c>
      <c r="J2218" s="2" t="s">
        <v>9</v>
      </c>
      <c r="K2218" s="3" t="s">
        <v>10</v>
      </c>
      <c r="L2218" s="2" t="s">
        <v>9</v>
      </c>
    </row>
    <row r="2219" spans="1:12" x14ac:dyDescent="0.25">
      <c r="A2219" s="4">
        <v>45870</v>
      </c>
      <c r="B2219" t="s">
        <v>21</v>
      </c>
      <c r="C2219" t="s">
        <v>1266</v>
      </c>
      <c r="E2219">
        <v>2014</v>
      </c>
      <c r="F2219" s="5">
        <v>53412</v>
      </c>
      <c r="G2219" t="s">
        <v>1267</v>
      </c>
      <c r="H2219">
        <v>3138932248</v>
      </c>
      <c r="I2219" s="7" t="s">
        <v>809</v>
      </c>
    </row>
    <row r="2221" spans="1:12" x14ac:dyDescent="0.25">
      <c r="I2221" s="7" t="s">
        <v>20</v>
      </c>
    </row>
    <row r="2223" spans="1:12" x14ac:dyDescent="0.25">
      <c r="A2223" s="1" t="s">
        <v>0</v>
      </c>
      <c r="B2223" s="1" t="s">
        <v>1</v>
      </c>
      <c r="C2223" s="1" t="s">
        <v>2</v>
      </c>
      <c r="D2223" s="1" t="s">
        <v>3</v>
      </c>
      <c r="E2223" s="1" t="s">
        <v>4</v>
      </c>
      <c r="F2223" s="2" t="s">
        <v>5</v>
      </c>
      <c r="G2223" s="3" t="s">
        <v>6</v>
      </c>
      <c r="H2223" s="3" t="s">
        <v>7</v>
      </c>
      <c r="I2223" s="6" t="s">
        <v>8</v>
      </c>
      <c r="J2223" s="2" t="s">
        <v>9</v>
      </c>
      <c r="K2223" s="3" t="s">
        <v>10</v>
      </c>
      <c r="L2223" s="2" t="s">
        <v>9</v>
      </c>
    </row>
    <row r="2224" spans="1:12" x14ac:dyDescent="0.25">
      <c r="A2224" s="4">
        <v>45871</v>
      </c>
      <c r="B2224" t="s">
        <v>990</v>
      </c>
      <c r="C2224" t="s">
        <v>991</v>
      </c>
      <c r="D2224" t="s">
        <v>13</v>
      </c>
      <c r="F2224" s="5">
        <v>35982</v>
      </c>
      <c r="G2224" t="s">
        <v>992</v>
      </c>
      <c r="I2224" s="7" t="s">
        <v>993</v>
      </c>
      <c r="J2224" s="5">
        <v>360000</v>
      </c>
    </row>
    <row r="2225" spans="1:12" x14ac:dyDescent="0.25">
      <c r="I2225" s="7" t="s">
        <v>994</v>
      </c>
      <c r="J2225" s="5">
        <v>40000</v>
      </c>
    </row>
    <row r="2227" spans="1:12" x14ac:dyDescent="0.25">
      <c r="I2227" s="7" t="s">
        <v>20</v>
      </c>
      <c r="J2227" s="5">
        <f>SUM(J2224:J2226)</f>
        <v>400000</v>
      </c>
    </row>
    <row r="2229" spans="1:12" x14ac:dyDescent="0.25">
      <c r="A2229" s="1" t="s">
        <v>0</v>
      </c>
      <c r="B2229" s="1" t="s">
        <v>1</v>
      </c>
      <c r="C2229" s="1" t="s">
        <v>2</v>
      </c>
      <c r="D2229" s="1" t="s">
        <v>3</v>
      </c>
      <c r="E2229" s="1" t="s">
        <v>4</v>
      </c>
      <c r="F2229" s="2" t="s">
        <v>5</v>
      </c>
      <c r="G2229" s="3" t="s">
        <v>6</v>
      </c>
      <c r="H2229" s="3" t="s">
        <v>7</v>
      </c>
      <c r="I2229" s="6" t="s">
        <v>8</v>
      </c>
      <c r="J2229" s="2" t="s">
        <v>9</v>
      </c>
      <c r="K2229" s="3" t="s">
        <v>10</v>
      </c>
      <c r="L2229" s="2" t="s">
        <v>9</v>
      </c>
    </row>
    <row r="2230" spans="1:12" x14ac:dyDescent="0.25">
      <c r="A2230" s="4">
        <v>45873</v>
      </c>
      <c r="B2230" t="s">
        <v>179</v>
      </c>
      <c r="C2230" t="s">
        <v>995</v>
      </c>
      <c r="D2230" t="s">
        <v>53</v>
      </c>
      <c r="F2230" s="5">
        <v>16553</v>
      </c>
      <c r="G2230" t="s">
        <v>560</v>
      </c>
      <c r="I2230" s="7" t="s">
        <v>26</v>
      </c>
    </row>
    <row r="2231" spans="1:12" x14ac:dyDescent="0.25">
      <c r="I2231" s="7" t="s">
        <v>996</v>
      </c>
    </row>
    <row r="2232" spans="1:12" x14ac:dyDescent="0.25">
      <c r="I2232" s="7" t="s">
        <v>169</v>
      </c>
    </row>
    <row r="2234" spans="1:12" x14ac:dyDescent="0.25">
      <c r="I2234" s="7" t="s">
        <v>20</v>
      </c>
    </row>
    <row r="2236" spans="1:12" x14ac:dyDescent="0.25">
      <c r="A2236" s="1" t="s">
        <v>0</v>
      </c>
      <c r="B2236" s="1" t="s">
        <v>1</v>
      </c>
      <c r="C2236" s="1" t="s">
        <v>2</v>
      </c>
      <c r="D2236" s="1" t="s">
        <v>3</v>
      </c>
      <c r="E2236" s="1" t="s">
        <v>4</v>
      </c>
      <c r="F2236" s="2" t="s">
        <v>5</v>
      </c>
      <c r="G2236" s="3" t="s">
        <v>6</v>
      </c>
      <c r="H2236" s="3" t="s">
        <v>7</v>
      </c>
      <c r="I2236" s="6" t="s">
        <v>8</v>
      </c>
      <c r="J2236" s="2" t="s">
        <v>9</v>
      </c>
      <c r="K2236" s="3" t="s">
        <v>10</v>
      </c>
      <c r="L2236" s="2" t="s">
        <v>9</v>
      </c>
    </row>
    <row r="2237" spans="1:12" x14ac:dyDescent="0.25">
      <c r="A2237" s="4">
        <v>45873</v>
      </c>
      <c r="B2237" t="s">
        <v>21</v>
      </c>
      <c r="C2237" t="s">
        <v>997</v>
      </c>
      <c r="D2237" t="s">
        <v>53</v>
      </c>
      <c r="F2237" s="5">
        <v>76214</v>
      </c>
      <c r="G2237" t="s">
        <v>998</v>
      </c>
      <c r="I2237" s="7" t="s">
        <v>999</v>
      </c>
      <c r="J2237" s="5">
        <v>168000</v>
      </c>
    </row>
    <row r="2238" spans="1:12" x14ac:dyDescent="0.25">
      <c r="I2238" s="7" t="s">
        <v>18</v>
      </c>
      <c r="J2238" s="5">
        <v>46000</v>
      </c>
    </row>
    <row r="2239" spans="1:12" x14ac:dyDescent="0.25">
      <c r="I2239" s="7" t="s">
        <v>100</v>
      </c>
      <c r="J2239" s="5">
        <v>40000</v>
      </c>
    </row>
    <row r="2240" spans="1:12" x14ac:dyDescent="0.25">
      <c r="I2240" s="7" t="s">
        <v>1000</v>
      </c>
      <c r="J2240" s="5">
        <v>40000</v>
      </c>
    </row>
    <row r="2242" spans="1:12" x14ac:dyDescent="0.25">
      <c r="I2242" s="7" t="s">
        <v>20</v>
      </c>
      <c r="J2242" s="5">
        <f>SUM(J2237:J2241)</f>
        <v>294000</v>
      </c>
    </row>
    <row r="2244" spans="1:12" x14ac:dyDescent="0.25">
      <c r="A2244" s="1" t="s">
        <v>0</v>
      </c>
      <c r="B2244" s="1" t="s">
        <v>1</v>
      </c>
      <c r="C2244" s="1" t="s">
        <v>2</v>
      </c>
      <c r="D2244" s="1" t="s">
        <v>3</v>
      </c>
      <c r="E2244" s="1" t="s">
        <v>4</v>
      </c>
      <c r="F2244" s="2" t="s">
        <v>5</v>
      </c>
      <c r="G2244" s="3" t="s">
        <v>6</v>
      </c>
      <c r="H2244" s="3" t="s">
        <v>7</v>
      </c>
      <c r="I2244" s="6" t="s">
        <v>8</v>
      </c>
      <c r="J2244" s="2" t="s">
        <v>9</v>
      </c>
      <c r="K2244" s="3" t="s">
        <v>10</v>
      </c>
      <c r="L2244" s="2" t="s">
        <v>9</v>
      </c>
    </row>
    <row r="2245" spans="1:12" x14ac:dyDescent="0.25">
      <c r="A2245" s="4">
        <v>45873</v>
      </c>
      <c r="B2245" t="s">
        <v>21</v>
      </c>
      <c r="C2245" t="s">
        <v>1219</v>
      </c>
      <c r="D2245" t="s">
        <v>29</v>
      </c>
      <c r="F2245" s="5">
        <v>131106</v>
      </c>
      <c r="I2245" s="7" t="s">
        <v>150</v>
      </c>
    </row>
    <row r="2247" spans="1:12" x14ac:dyDescent="0.25">
      <c r="I2247" s="7" t="s">
        <v>20</v>
      </c>
    </row>
    <row r="2249" spans="1:12" x14ac:dyDescent="0.25">
      <c r="A2249" s="1" t="s">
        <v>0</v>
      </c>
      <c r="B2249" s="1" t="s">
        <v>1</v>
      </c>
      <c r="C2249" s="1" t="s">
        <v>2</v>
      </c>
      <c r="D2249" s="1" t="s">
        <v>3</v>
      </c>
      <c r="E2249" s="1" t="s">
        <v>4</v>
      </c>
      <c r="F2249" s="2" t="s">
        <v>5</v>
      </c>
      <c r="G2249" s="3" t="s">
        <v>6</v>
      </c>
      <c r="H2249" s="3" t="s">
        <v>7</v>
      </c>
      <c r="I2249" s="6" t="s">
        <v>8</v>
      </c>
      <c r="J2249" s="2" t="s">
        <v>9</v>
      </c>
      <c r="K2249" s="3" t="s">
        <v>10</v>
      </c>
      <c r="L2249" s="2" t="s">
        <v>9</v>
      </c>
    </row>
    <row r="2250" spans="1:12" x14ac:dyDescent="0.25">
      <c r="A2250" s="4">
        <v>45874</v>
      </c>
      <c r="B2250" t="s">
        <v>21</v>
      </c>
      <c r="C2250" t="s">
        <v>1001</v>
      </c>
      <c r="D2250" t="s">
        <v>23</v>
      </c>
      <c r="F2250" s="5">
        <v>113524</v>
      </c>
      <c r="G2250" t="s">
        <v>1002</v>
      </c>
      <c r="I2250" s="7" t="s">
        <v>17</v>
      </c>
      <c r="J2250" s="5">
        <v>192000</v>
      </c>
    </row>
    <row r="2251" spans="1:12" x14ac:dyDescent="0.25">
      <c r="I2251" s="7" t="s">
        <v>18</v>
      </c>
      <c r="J2251" s="5">
        <v>46000</v>
      </c>
    </row>
    <row r="2252" spans="1:12" x14ac:dyDescent="0.25">
      <c r="I2252" s="7" t="s">
        <v>1003</v>
      </c>
      <c r="J2252" s="5">
        <v>150000</v>
      </c>
    </row>
    <row r="2253" spans="1:12" x14ac:dyDescent="0.25">
      <c r="I2253" s="7" t="s">
        <v>100</v>
      </c>
      <c r="J2253" s="5">
        <v>40000</v>
      </c>
    </row>
    <row r="2255" spans="1:12" x14ac:dyDescent="0.25">
      <c r="I2255" s="7" t="s">
        <v>20</v>
      </c>
      <c r="J2255" s="5">
        <f>SUM(J2250:J2254)</f>
        <v>428000</v>
      </c>
    </row>
    <row r="2257" spans="1:12" x14ac:dyDescent="0.25">
      <c r="A2257" s="1" t="s">
        <v>0</v>
      </c>
      <c r="B2257" s="1" t="s">
        <v>1</v>
      </c>
      <c r="C2257" s="1" t="s">
        <v>2</v>
      </c>
      <c r="D2257" s="1" t="s">
        <v>3</v>
      </c>
      <c r="E2257" s="1" t="s">
        <v>4</v>
      </c>
      <c r="F2257" s="2" t="s">
        <v>5</v>
      </c>
      <c r="G2257" s="3" t="s">
        <v>6</v>
      </c>
      <c r="H2257" s="3" t="s">
        <v>7</v>
      </c>
      <c r="I2257" s="6" t="s">
        <v>8</v>
      </c>
      <c r="J2257" s="2" t="s">
        <v>9</v>
      </c>
      <c r="K2257" s="3" t="s">
        <v>10</v>
      </c>
      <c r="L2257" s="2" t="s">
        <v>9</v>
      </c>
    </row>
    <row r="2258" spans="1:12" x14ac:dyDescent="0.25">
      <c r="A2258" s="4">
        <v>45874</v>
      </c>
      <c r="B2258" t="s">
        <v>983</v>
      </c>
      <c r="C2258" t="s">
        <v>984</v>
      </c>
      <c r="D2258" t="s">
        <v>29</v>
      </c>
      <c r="G2258" t="s">
        <v>985</v>
      </c>
      <c r="I2258" s="7" t="s">
        <v>920</v>
      </c>
      <c r="J2258" s="5">
        <v>390000</v>
      </c>
    </row>
    <row r="2259" spans="1:12" x14ac:dyDescent="0.25">
      <c r="I2259" s="7" t="s">
        <v>746</v>
      </c>
      <c r="J2259" s="5">
        <v>150000</v>
      </c>
    </row>
    <row r="2260" spans="1:12" x14ac:dyDescent="0.25">
      <c r="I2260" s="7" t="s">
        <v>150</v>
      </c>
      <c r="J2260" s="5">
        <v>150000</v>
      </c>
    </row>
    <row r="2261" spans="1:12" x14ac:dyDescent="0.25">
      <c r="I2261" s="7" t="s">
        <v>924</v>
      </c>
      <c r="J2261" s="5">
        <v>160000</v>
      </c>
    </row>
    <row r="2262" spans="1:12" x14ac:dyDescent="0.25">
      <c r="I2262" s="7" t="s">
        <v>169</v>
      </c>
      <c r="J2262" s="5">
        <v>35000</v>
      </c>
    </row>
    <row r="2263" spans="1:12" x14ac:dyDescent="0.25">
      <c r="I2263" s="7" t="s">
        <v>986</v>
      </c>
      <c r="J2263" s="5">
        <v>60000</v>
      </c>
    </row>
    <row r="2265" spans="1:12" x14ac:dyDescent="0.25">
      <c r="I2265" s="7" t="s">
        <v>20</v>
      </c>
      <c r="J2265" s="5">
        <f>SUM(J2258:J2264)</f>
        <v>945000</v>
      </c>
    </row>
    <row r="2267" spans="1:12" x14ac:dyDescent="0.25">
      <c r="A2267" s="1" t="s">
        <v>0</v>
      </c>
      <c r="B2267" s="1" t="s">
        <v>1</v>
      </c>
      <c r="C2267" s="1" t="s">
        <v>2</v>
      </c>
      <c r="D2267" s="1" t="s">
        <v>3</v>
      </c>
      <c r="E2267" s="1" t="s">
        <v>4</v>
      </c>
      <c r="F2267" s="2" t="s">
        <v>5</v>
      </c>
      <c r="G2267" s="3" t="s">
        <v>6</v>
      </c>
      <c r="H2267" s="3" t="s">
        <v>7</v>
      </c>
      <c r="I2267" s="6" t="s">
        <v>8</v>
      </c>
      <c r="J2267" s="2" t="s">
        <v>9</v>
      </c>
      <c r="K2267" s="3" t="s">
        <v>10</v>
      </c>
      <c r="L2267" s="2" t="s">
        <v>9</v>
      </c>
    </row>
    <row r="2268" spans="1:12" x14ac:dyDescent="0.25">
      <c r="A2268" s="4">
        <v>45874</v>
      </c>
      <c r="B2268" t="s">
        <v>1257</v>
      </c>
      <c r="C2268" t="s">
        <v>1258</v>
      </c>
      <c r="E2268">
        <v>2013</v>
      </c>
      <c r="F2268" s="5">
        <v>55639</v>
      </c>
      <c r="G2268" t="s">
        <v>1259</v>
      </c>
      <c r="H2268">
        <v>3142413800</v>
      </c>
      <c r="I2268" s="7" t="s">
        <v>743</v>
      </c>
    </row>
    <row r="2269" spans="1:12" x14ac:dyDescent="0.25">
      <c r="I2269" s="7" t="s">
        <v>1260</v>
      </c>
    </row>
    <row r="2270" spans="1:12" x14ac:dyDescent="0.25">
      <c r="I2270" s="7" t="s">
        <v>77</v>
      </c>
    </row>
    <row r="2272" spans="1:12" x14ac:dyDescent="0.25">
      <c r="I2272" s="7" t="s">
        <v>20</v>
      </c>
    </row>
    <row r="2274" spans="1:12" x14ac:dyDescent="0.25">
      <c r="A2274" s="1" t="s">
        <v>0</v>
      </c>
      <c r="B2274" s="1" t="s">
        <v>1</v>
      </c>
      <c r="C2274" s="1" t="s">
        <v>2</v>
      </c>
      <c r="D2274" s="1" t="s">
        <v>3</v>
      </c>
      <c r="E2274" s="1" t="s">
        <v>4</v>
      </c>
      <c r="F2274" s="2" t="s">
        <v>5</v>
      </c>
      <c r="G2274" s="3" t="s">
        <v>6</v>
      </c>
      <c r="H2274" s="3" t="s">
        <v>7</v>
      </c>
      <c r="I2274" s="6" t="s">
        <v>8</v>
      </c>
      <c r="J2274" s="2" t="s">
        <v>9</v>
      </c>
      <c r="K2274" s="3" t="s">
        <v>10</v>
      </c>
      <c r="L2274" s="2" t="s">
        <v>9</v>
      </c>
    </row>
    <row r="2275" spans="1:12" x14ac:dyDescent="0.25">
      <c r="A2275" s="4">
        <v>45875</v>
      </c>
      <c r="B2275" t="s">
        <v>329</v>
      </c>
      <c r="C2275" t="s">
        <v>330</v>
      </c>
      <c r="D2275" t="s">
        <v>322</v>
      </c>
      <c r="G2275" t="s">
        <v>1004</v>
      </c>
      <c r="I2275" s="7" t="s">
        <v>1005</v>
      </c>
      <c r="J2275" s="5">
        <v>280000</v>
      </c>
    </row>
    <row r="2276" spans="1:12" x14ac:dyDescent="0.25">
      <c r="I2276" s="7" t="s">
        <v>77</v>
      </c>
      <c r="J2276" s="5">
        <v>22000</v>
      </c>
    </row>
    <row r="2277" spans="1:12" x14ac:dyDescent="0.25">
      <c r="I2277" s="7" t="s">
        <v>1006</v>
      </c>
      <c r="J2277" s="5">
        <v>180000</v>
      </c>
    </row>
    <row r="2278" spans="1:12" x14ac:dyDescent="0.25">
      <c r="I2278" s="7" t="s">
        <v>1007</v>
      </c>
      <c r="J2278" s="5">
        <v>1000</v>
      </c>
    </row>
    <row r="2279" spans="1:12" x14ac:dyDescent="0.25">
      <c r="I2279" s="7" t="s">
        <v>1008</v>
      </c>
      <c r="J2279" s="5">
        <v>80000</v>
      </c>
    </row>
    <row r="2280" spans="1:12" x14ac:dyDescent="0.25">
      <c r="I2280" s="7" t="s">
        <v>1009</v>
      </c>
      <c r="J2280" s="5">
        <v>80000</v>
      </c>
    </row>
    <row r="2282" spans="1:12" x14ac:dyDescent="0.25">
      <c r="I2282" s="7" t="s">
        <v>20</v>
      </c>
      <c r="J2282" s="5">
        <f>SUM(J2275:J2281)</f>
        <v>643000</v>
      </c>
    </row>
    <row r="2284" spans="1:12" x14ac:dyDescent="0.25">
      <c r="A2284" s="1" t="s">
        <v>0</v>
      </c>
      <c r="B2284" s="1" t="s">
        <v>1</v>
      </c>
      <c r="C2284" s="1" t="s">
        <v>2</v>
      </c>
      <c r="D2284" s="1" t="s">
        <v>3</v>
      </c>
      <c r="E2284" s="1" t="s">
        <v>4</v>
      </c>
      <c r="F2284" s="2" t="s">
        <v>5</v>
      </c>
      <c r="G2284" s="3" t="s">
        <v>6</v>
      </c>
      <c r="H2284" s="3" t="s">
        <v>7</v>
      </c>
      <c r="I2284" s="6" t="s">
        <v>8</v>
      </c>
      <c r="J2284" s="2" t="s">
        <v>9</v>
      </c>
      <c r="K2284" s="3" t="s">
        <v>10</v>
      </c>
      <c r="L2284" s="2" t="s">
        <v>9</v>
      </c>
    </row>
    <row r="2285" spans="1:12" x14ac:dyDescent="0.25">
      <c r="A2285" s="4">
        <v>45875</v>
      </c>
      <c r="B2285" t="s">
        <v>21</v>
      </c>
      <c r="C2285" t="s">
        <v>1010</v>
      </c>
      <c r="D2285" t="s">
        <v>23</v>
      </c>
      <c r="F2285" s="5">
        <v>109556</v>
      </c>
      <c r="G2285" t="s">
        <v>1011</v>
      </c>
      <c r="I2285" s="7" t="s">
        <v>17</v>
      </c>
      <c r="J2285" s="5">
        <v>364000</v>
      </c>
    </row>
    <row r="2286" spans="1:12" x14ac:dyDescent="0.25">
      <c r="I2286" s="7" t="s">
        <v>18</v>
      </c>
      <c r="J2286" s="5">
        <v>46000</v>
      </c>
    </row>
    <row r="2287" spans="1:12" x14ac:dyDescent="0.25">
      <c r="I2287" s="7" t="s">
        <v>48</v>
      </c>
      <c r="J2287" s="5">
        <v>120000</v>
      </c>
    </row>
    <row r="2288" spans="1:12" x14ac:dyDescent="0.25">
      <c r="I2288" s="7" t="s">
        <v>49</v>
      </c>
      <c r="J2288" s="5">
        <v>40000</v>
      </c>
    </row>
    <row r="2290" spans="1:12" x14ac:dyDescent="0.25">
      <c r="I2290" s="7" t="s">
        <v>20</v>
      </c>
      <c r="J2290" s="5">
        <f>SUM(J2285:J2289)</f>
        <v>570000</v>
      </c>
    </row>
    <row r="2292" spans="1:12" x14ac:dyDescent="0.25">
      <c r="A2292" s="1" t="s">
        <v>0</v>
      </c>
      <c r="B2292" s="1" t="s">
        <v>1</v>
      </c>
      <c r="C2292" s="1" t="s">
        <v>2</v>
      </c>
      <c r="D2292" s="1" t="s">
        <v>3</v>
      </c>
      <c r="E2292" s="1" t="s">
        <v>4</v>
      </c>
      <c r="F2292" s="2" t="s">
        <v>5</v>
      </c>
      <c r="G2292" s="3" t="s">
        <v>6</v>
      </c>
      <c r="H2292" s="3" t="s">
        <v>7</v>
      </c>
      <c r="I2292" s="6" t="s">
        <v>8</v>
      </c>
      <c r="J2292" s="2" t="s">
        <v>9</v>
      </c>
      <c r="K2292" s="3" t="s">
        <v>10</v>
      </c>
      <c r="L2292" s="2" t="s">
        <v>9</v>
      </c>
    </row>
    <row r="2293" spans="1:12" x14ac:dyDescent="0.25">
      <c r="A2293" s="4">
        <v>45875</v>
      </c>
      <c r="B2293" t="s">
        <v>21</v>
      </c>
      <c r="C2293" t="s">
        <v>147</v>
      </c>
      <c r="D2293" t="s">
        <v>23</v>
      </c>
      <c r="F2293" s="5">
        <v>124545</v>
      </c>
      <c r="G2293" t="s">
        <v>1012</v>
      </c>
      <c r="I2293" s="7" t="s">
        <v>17</v>
      </c>
      <c r="J2293" s="5">
        <v>232000</v>
      </c>
    </row>
    <row r="2294" spans="1:12" x14ac:dyDescent="0.25">
      <c r="I2294" s="7" t="s">
        <v>18</v>
      </c>
      <c r="J2294" s="5">
        <v>46000</v>
      </c>
    </row>
    <row r="2295" spans="1:12" x14ac:dyDescent="0.25">
      <c r="I2295" s="7" t="s">
        <v>1013</v>
      </c>
      <c r="J2295" s="5">
        <v>40000</v>
      </c>
    </row>
    <row r="2297" spans="1:12" x14ac:dyDescent="0.25">
      <c r="I2297" s="7" t="s">
        <v>20</v>
      </c>
      <c r="J2297" s="5">
        <f>SUM(J2293:J2296)</f>
        <v>318000</v>
      </c>
    </row>
    <row r="2299" spans="1:12" x14ac:dyDescent="0.25">
      <c r="A2299" s="1" t="s">
        <v>0</v>
      </c>
      <c r="B2299" s="1" t="s">
        <v>1</v>
      </c>
      <c r="C2299" s="1" t="s">
        <v>2</v>
      </c>
      <c r="D2299" s="1" t="s">
        <v>3</v>
      </c>
      <c r="E2299" s="1" t="s">
        <v>4</v>
      </c>
      <c r="F2299" s="2" t="s">
        <v>5</v>
      </c>
      <c r="G2299" s="3" t="s">
        <v>6</v>
      </c>
      <c r="H2299" s="3" t="s">
        <v>7</v>
      </c>
      <c r="I2299" s="6" t="s">
        <v>8</v>
      </c>
      <c r="J2299" s="2" t="s">
        <v>9</v>
      </c>
      <c r="K2299" s="3" t="s">
        <v>10</v>
      </c>
      <c r="L2299" s="2" t="s">
        <v>9</v>
      </c>
    </row>
    <row r="2300" spans="1:12" x14ac:dyDescent="0.25">
      <c r="A2300" s="4">
        <v>45875</v>
      </c>
      <c r="B2300" t="s">
        <v>183</v>
      </c>
      <c r="C2300" t="s">
        <v>1020</v>
      </c>
      <c r="D2300" t="s">
        <v>53</v>
      </c>
      <c r="F2300" s="5">
        <v>55203</v>
      </c>
      <c r="G2300" t="s">
        <v>556</v>
      </c>
      <c r="I2300" s="7" t="s">
        <v>1021</v>
      </c>
      <c r="J2300" s="5">
        <v>510000</v>
      </c>
    </row>
    <row r="2301" spans="1:12" x14ac:dyDescent="0.25">
      <c r="I2301" s="7" t="s">
        <v>100</v>
      </c>
      <c r="J2301" s="5">
        <v>150000</v>
      </c>
    </row>
    <row r="2302" spans="1:12" x14ac:dyDescent="0.25">
      <c r="I2302" s="7" t="s">
        <v>169</v>
      </c>
      <c r="J2302" s="5">
        <v>60000</v>
      </c>
    </row>
    <row r="2304" spans="1:12" x14ac:dyDescent="0.25">
      <c r="I2304" s="7" t="s">
        <v>20</v>
      </c>
      <c r="J2304" s="5">
        <f>SUM(J2300:J2303)</f>
        <v>720000</v>
      </c>
    </row>
    <row r="2306" spans="1:12" x14ac:dyDescent="0.25">
      <c r="A2306" s="1" t="s">
        <v>0</v>
      </c>
      <c r="B2306" s="1" t="s">
        <v>1</v>
      </c>
      <c r="C2306" s="1" t="s">
        <v>2</v>
      </c>
      <c r="D2306" s="1" t="s">
        <v>3</v>
      </c>
      <c r="E2306" s="1" t="s">
        <v>4</v>
      </c>
      <c r="F2306" s="2" t="s">
        <v>5</v>
      </c>
      <c r="G2306" s="3" t="s">
        <v>6</v>
      </c>
      <c r="H2306" s="3" t="s">
        <v>7</v>
      </c>
      <c r="I2306" s="6" t="s">
        <v>8</v>
      </c>
      <c r="J2306" s="2" t="s">
        <v>9</v>
      </c>
      <c r="K2306" s="3" t="s">
        <v>10</v>
      </c>
      <c r="L2306" s="2" t="s">
        <v>9</v>
      </c>
    </row>
    <row r="2307" spans="1:12" x14ac:dyDescent="0.25">
      <c r="A2307" s="4">
        <v>45875</v>
      </c>
      <c r="B2307" t="s">
        <v>1022</v>
      </c>
      <c r="C2307" t="s">
        <v>1023</v>
      </c>
      <c r="F2307" s="5">
        <v>28212</v>
      </c>
      <c r="I2307" s="7" t="s">
        <v>928</v>
      </c>
    </row>
    <row r="2308" spans="1:12" x14ac:dyDescent="0.25">
      <c r="I2308" s="7" t="s">
        <v>1024</v>
      </c>
    </row>
    <row r="2310" spans="1:12" x14ac:dyDescent="0.25">
      <c r="I2310" s="7" t="s">
        <v>20</v>
      </c>
      <c r="J2310" s="5">
        <v>240000</v>
      </c>
    </row>
    <row r="2312" spans="1:12" x14ac:dyDescent="0.25">
      <c r="A2312" s="1" t="s">
        <v>0</v>
      </c>
      <c r="B2312" s="1" t="s">
        <v>1</v>
      </c>
      <c r="C2312" s="1" t="s">
        <v>2</v>
      </c>
      <c r="D2312" s="1" t="s">
        <v>3</v>
      </c>
      <c r="E2312" s="1" t="s">
        <v>4</v>
      </c>
      <c r="F2312" s="2" t="s">
        <v>5</v>
      </c>
      <c r="G2312" s="3" t="s">
        <v>6</v>
      </c>
      <c r="H2312" s="3" t="s">
        <v>7</v>
      </c>
      <c r="I2312" s="6" t="s">
        <v>8</v>
      </c>
      <c r="J2312" s="2" t="s">
        <v>9</v>
      </c>
      <c r="K2312" s="3" t="s">
        <v>10</v>
      </c>
      <c r="L2312" s="2" t="s">
        <v>9</v>
      </c>
    </row>
    <row r="2313" spans="1:12" x14ac:dyDescent="0.25">
      <c r="A2313" s="4">
        <v>45875</v>
      </c>
      <c r="B2313" t="s">
        <v>21</v>
      </c>
      <c r="C2313" t="s">
        <v>1025</v>
      </c>
      <c r="D2313" t="s">
        <v>29</v>
      </c>
      <c r="E2313">
        <v>2012</v>
      </c>
      <c r="F2313" s="5">
        <v>103438</v>
      </c>
      <c r="G2313" t="s">
        <v>1026</v>
      </c>
      <c r="I2313" s="7" t="s">
        <v>509</v>
      </c>
      <c r="J2313" s="5">
        <v>550000</v>
      </c>
    </row>
    <row r="2314" spans="1:12" x14ac:dyDescent="0.25">
      <c r="I2314" s="7" t="s">
        <v>150</v>
      </c>
      <c r="J2314" s="5">
        <v>150000</v>
      </c>
    </row>
    <row r="2315" spans="1:12" x14ac:dyDescent="0.25">
      <c r="I2315" s="7" t="s">
        <v>17</v>
      </c>
      <c r="J2315" s="5">
        <v>208000</v>
      </c>
    </row>
    <row r="2316" spans="1:12" x14ac:dyDescent="0.25">
      <c r="I2316" s="7" t="s">
        <v>18</v>
      </c>
      <c r="J2316" s="5">
        <v>46000</v>
      </c>
    </row>
    <row r="2317" spans="1:12" x14ac:dyDescent="0.25">
      <c r="I2317" s="7" t="s">
        <v>746</v>
      </c>
      <c r="J2317" s="5">
        <v>150000</v>
      </c>
    </row>
    <row r="2318" spans="1:12" x14ac:dyDescent="0.25">
      <c r="I2318" s="7" t="s">
        <v>1027</v>
      </c>
      <c r="J2318" s="5">
        <v>160000</v>
      </c>
    </row>
    <row r="2319" spans="1:12" x14ac:dyDescent="0.25">
      <c r="I2319" s="7" t="s">
        <v>1028</v>
      </c>
      <c r="J2319" s="5">
        <v>25000</v>
      </c>
    </row>
    <row r="2320" spans="1:12" x14ac:dyDescent="0.25">
      <c r="I2320" s="7" t="s">
        <v>479</v>
      </c>
      <c r="J2320" s="5">
        <v>45000</v>
      </c>
    </row>
    <row r="2321" spans="1:12" x14ac:dyDescent="0.25">
      <c r="J2321" s="5">
        <v>60000</v>
      </c>
    </row>
    <row r="2322" spans="1:12" x14ac:dyDescent="0.25">
      <c r="J2322" s="5">
        <v>35000</v>
      </c>
    </row>
    <row r="2324" spans="1:12" x14ac:dyDescent="0.25">
      <c r="I2324" s="7" t="s">
        <v>20</v>
      </c>
      <c r="J2324" s="5">
        <f>SUM(J2313:J2323)</f>
        <v>1429000</v>
      </c>
    </row>
    <row r="2326" spans="1:12" x14ac:dyDescent="0.25">
      <c r="A2326" s="1" t="s">
        <v>0</v>
      </c>
      <c r="B2326" s="1" t="s">
        <v>1</v>
      </c>
      <c r="C2326" s="1" t="s">
        <v>2</v>
      </c>
      <c r="D2326" s="1" t="s">
        <v>3</v>
      </c>
      <c r="E2326" s="1" t="s">
        <v>4</v>
      </c>
      <c r="F2326" s="2" t="s">
        <v>5</v>
      </c>
      <c r="G2326" s="3" t="s">
        <v>6</v>
      </c>
      <c r="H2326" s="3" t="s">
        <v>7</v>
      </c>
      <c r="I2326" s="6" t="s">
        <v>8</v>
      </c>
      <c r="J2326" s="2" t="s">
        <v>9</v>
      </c>
      <c r="K2326" s="3" t="s">
        <v>10</v>
      </c>
      <c r="L2326" s="2" t="s">
        <v>9</v>
      </c>
    </row>
    <row r="2327" spans="1:12" x14ac:dyDescent="0.25">
      <c r="A2327" s="4">
        <v>45875</v>
      </c>
      <c r="B2327" t="s">
        <v>89</v>
      </c>
      <c r="C2327" t="s">
        <v>1265</v>
      </c>
      <c r="D2327" t="s">
        <v>13</v>
      </c>
      <c r="E2327">
        <v>2014</v>
      </c>
      <c r="G2327" t="s">
        <v>1033</v>
      </c>
      <c r="H2327">
        <v>3105828649</v>
      </c>
      <c r="I2327" s="7" t="s">
        <v>879</v>
      </c>
      <c r="J2327" s="5">
        <v>800000</v>
      </c>
    </row>
    <row r="2328" spans="1:12" x14ac:dyDescent="0.25">
      <c r="I2328" s="7" t="s">
        <v>1034</v>
      </c>
      <c r="J2328" s="5">
        <v>1450000</v>
      </c>
    </row>
    <row r="2329" spans="1:12" x14ac:dyDescent="0.25">
      <c r="I2329" s="7" t="s">
        <v>1035</v>
      </c>
      <c r="J2329" s="5">
        <v>150000</v>
      </c>
    </row>
    <row r="2330" spans="1:12" x14ac:dyDescent="0.25">
      <c r="I2330" s="7" t="s">
        <v>1036</v>
      </c>
      <c r="J2330" s="5">
        <v>80000</v>
      </c>
    </row>
    <row r="2331" spans="1:12" x14ac:dyDescent="0.25">
      <c r="I2331" s="7" t="s">
        <v>768</v>
      </c>
      <c r="J2331" s="5">
        <v>80000</v>
      </c>
    </row>
    <row r="2332" spans="1:12" x14ac:dyDescent="0.25">
      <c r="I2332" s="7" t="s">
        <v>1037</v>
      </c>
      <c r="J2332" s="5">
        <v>570000</v>
      </c>
    </row>
    <row r="2334" spans="1:12" x14ac:dyDescent="0.25">
      <c r="I2334" s="7" t="s">
        <v>20</v>
      </c>
      <c r="J2334" s="5">
        <f>SUM(J2327:J2333)</f>
        <v>3130000</v>
      </c>
    </row>
    <row r="2336" spans="1:12" x14ac:dyDescent="0.25">
      <c r="A2336" s="1" t="s">
        <v>0</v>
      </c>
      <c r="B2336" s="1" t="s">
        <v>1</v>
      </c>
      <c r="C2336" s="1" t="s">
        <v>2</v>
      </c>
      <c r="D2336" s="1" t="s">
        <v>3</v>
      </c>
      <c r="E2336" s="1" t="s">
        <v>4</v>
      </c>
      <c r="F2336" s="2" t="s">
        <v>5</v>
      </c>
      <c r="G2336" s="3" t="s">
        <v>6</v>
      </c>
      <c r="H2336" s="3" t="s">
        <v>7</v>
      </c>
      <c r="I2336" s="6" t="s">
        <v>8</v>
      </c>
      <c r="J2336" s="2" t="s">
        <v>9</v>
      </c>
      <c r="K2336" s="3" t="s">
        <v>10</v>
      </c>
      <c r="L2336" s="2" t="s">
        <v>9</v>
      </c>
    </row>
    <row r="2337" spans="1:12" x14ac:dyDescent="0.25">
      <c r="A2337" s="4">
        <v>45876</v>
      </c>
      <c r="B2337" t="s">
        <v>1029</v>
      </c>
      <c r="C2337" t="s">
        <v>1030</v>
      </c>
      <c r="F2337" s="5">
        <v>8996</v>
      </c>
      <c r="G2337" t="s">
        <v>1031</v>
      </c>
      <c r="I2337" s="7" t="s">
        <v>16</v>
      </c>
      <c r="J2337" s="5">
        <v>200000</v>
      </c>
    </row>
    <row r="2338" spans="1:12" ht="14.25" customHeight="1" x14ac:dyDescent="0.25">
      <c r="I2338" s="7" t="s">
        <v>17</v>
      </c>
      <c r="J2338" s="5">
        <v>42000</v>
      </c>
    </row>
    <row r="2339" spans="1:12" x14ac:dyDescent="0.25">
      <c r="I2339" s="7" t="s">
        <v>324</v>
      </c>
      <c r="J2339" s="5">
        <v>30000</v>
      </c>
    </row>
    <row r="2340" spans="1:12" x14ac:dyDescent="0.25">
      <c r="I2340" s="7" t="s">
        <v>1032</v>
      </c>
      <c r="J2340" s="5">
        <v>12000</v>
      </c>
    </row>
    <row r="2342" spans="1:12" x14ac:dyDescent="0.25">
      <c r="I2342" s="7" t="s">
        <v>20</v>
      </c>
      <c r="J2342" s="5">
        <f>SUM(J2337:J2341)</f>
        <v>284000</v>
      </c>
    </row>
    <row r="2344" spans="1:12" x14ac:dyDescent="0.25">
      <c r="A2344" s="1" t="s">
        <v>0</v>
      </c>
      <c r="B2344" s="1" t="s">
        <v>1</v>
      </c>
      <c r="C2344" s="1" t="s">
        <v>2</v>
      </c>
      <c r="D2344" s="1" t="s">
        <v>3</v>
      </c>
      <c r="E2344" s="1" t="s">
        <v>4</v>
      </c>
      <c r="F2344" s="2" t="s">
        <v>5</v>
      </c>
      <c r="G2344" s="3" t="s">
        <v>6</v>
      </c>
      <c r="H2344" s="3" t="s">
        <v>7</v>
      </c>
      <c r="I2344" s="6" t="s">
        <v>8</v>
      </c>
      <c r="J2344" s="2" t="s">
        <v>9</v>
      </c>
      <c r="K2344" s="3" t="s">
        <v>10</v>
      </c>
      <c r="L2344" s="2" t="s">
        <v>9</v>
      </c>
    </row>
    <row r="2345" spans="1:12" x14ac:dyDescent="0.25">
      <c r="A2345" s="4">
        <v>45876</v>
      </c>
      <c r="B2345" t="s">
        <v>1222</v>
      </c>
      <c r="C2345" t="s">
        <v>1223</v>
      </c>
      <c r="E2345">
        <v>2017</v>
      </c>
      <c r="F2345" s="5">
        <v>47700</v>
      </c>
      <c r="G2345" t="s">
        <v>1224</v>
      </c>
      <c r="H2345">
        <v>3102198037</v>
      </c>
      <c r="I2345" s="7" t="s">
        <v>1225</v>
      </c>
    </row>
    <row r="2347" spans="1:12" x14ac:dyDescent="0.25">
      <c r="I2347" s="7" t="s">
        <v>20</v>
      </c>
    </row>
    <row r="2349" spans="1:12" x14ac:dyDescent="0.25">
      <c r="A2349" s="1" t="s">
        <v>0</v>
      </c>
      <c r="B2349" s="1" t="s">
        <v>1</v>
      </c>
      <c r="C2349" s="1" t="s">
        <v>2</v>
      </c>
      <c r="D2349" s="1" t="s">
        <v>3</v>
      </c>
      <c r="E2349" s="1" t="s">
        <v>4</v>
      </c>
      <c r="F2349" s="2" t="s">
        <v>5</v>
      </c>
      <c r="G2349" s="3" t="s">
        <v>6</v>
      </c>
      <c r="H2349" s="3" t="s">
        <v>7</v>
      </c>
      <c r="I2349" s="6" t="s">
        <v>8</v>
      </c>
      <c r="J2349" s="2" t="s">
        <v>9</v>
      </c>
      <c r="K2349" s="3" t="s">
        <v>10</v>
      </c>
      <c r="L2349" s="2" t="s">
        <v>9</v>
      </c>
    </row>
    <row r="2350" spans="1:12" x14ac:dyDescent="0.25">
      <c r="A2350" s="4">
        <v>45877</v>
      </c>
      <c r="B2350" t="s">
        <v>21</v>
      </c>
      <c r="C2350" t="s">
        <v>177</v>
      </c>
      <c r="D2350" t="s">
        <v>29</v>
      </c>
      <c r="G2350" t="s">
        <v>178</v>
      </c>
      <c r="I2350" s="7" t="s">
        <v>17</v>
      </c>
      <c r="J2350" s="5">
        <v>40000</v>
      </c>
    </row>
    <row r="2351" spans="1:12" x14ac:dyDescent="0.25">
      <c r="I2351" s="7" t="s">
        <v>18</v>
      </c>
      <c r="J2351" s="5">
        <v>46000</v>
      </c>
    </row>
    <row r="2352" spans="1:12" x14ac:dyDescent="0.25">
      <c r="I2352" s="7" t="s">
        <v>25</v>
      </c>
      <c r="J2352" s="5">
        <v>160000</v>
      </c>
    </row>
    <row r="2353" spans="1:12" x14ac:dyDescent="0.25">
      <c r="I2353" s="7" t="s">
        <v>451</v>
      </c>
      <c r="J2353" s="5">
        <v>40000</v>
      </c>
    </row>
    <row r="2355" spans="1:12" x14ac:dyDescent="0.25">
      <c r="I2355" s="7" t="s">
        <v>20</v>
      </c>
      <c r="J2355" s="5">
        <f>SUM(J2350:J2354)</f>
        <v>286000</v>
      </c>
    </row>
    <row r="2357" spans="1:12" x14ac:dyDescent="0.25">
      <c r="A2357" s="1" t="s">
        <v>0</v>
      </c>
      <c r="B2357" s="1" t="s">
        <v>1</v>
      </c>
      <c r="C2357" s="1" t="s">
        <v>2</v>
      </c>
      <c r="D2357" s="1" t="s">
        <v>3</v>
      </c>
      <c r="E2357" s="1" t="s">
        <v>4</v>
      </c>
      <c r="F2357" s="2" t="s">
        <v>5</v>
      </c>
      <c r="G2357" s="3" t="s">
        <v>6</v>
      </c>
      <c r="H2357" s="3" t="s">
        <v>7</v>
      </c>
      <c r="I2357" s="6" t="s">
        <v>8</v>
      </c>
      <c r="J2357" s="2" t="s">
        <v>9</v>
      </c>
      <c r="K2357" s="3" t="s">
        <v>10</v>
      </c>
      <c r="L2357" s="2" t="s">
        <v>9</v>
      </c>
    </row>
    <row r="2358" spans="1:12" x14ac:dyDescent="0.25">
      <c r="A2358" s="4">
        <v>45878</v>
      </c>
      <c r="B2358" t="s">
        <v>1038</v>
      </c>
      <c r="D2358" t="s">
        <v>153</v>
      </c>
      <c r="G2358" t="s">
        <v>1039</v>
      </c>
      <c r="I2358" s="7" t="s">
        <v>1040</v>
      </c>
      <c r="J2358" s="5">
        <v>434000</v>
      </c>
    </row>
    <row r="2359" spans="1:12" x14ac:dyDescent="0.25">
      <c r="I2359" s="7" t="s">
        <v>318</v>
      </c>
      <c r="J2359" s="5">
        <v>180000</v>
      </c>
    </row>
    <row r="2360" spans="1:12" x14ac:dyDescent="0.25">
      <c r="I2360" s="7" t="s">
        <v>100</v>
      </c>
      <c r="J2360" s="5">
        <v>80000</v>
      </c>
    </row>
    <row r="2361" spans="1:12" x14ac:dyDescent="0.25">
      <c r="I2361" s="7" t="s">
        <v>77</v>
      </c>
      <c r="J2361" s="5">
        <v>22000</v>
      </c>
    </row>
    <row r="2363" spans="1:12" x14ac:dyDescent="0.25">
      <c r="I2363" s="7" t="s">
        <v>20</v>
      </c>
      <c r="J2363" s="5">
        <f>SUM(J2358:J2362)</f>
        <v>716000</v>
      </c>
    </row>
    <row r="2365" spans="1:12" x14ac:dyDescent="0.25">
      <c r="A2365" s="1" t="s">
        <v>0</v>
      </c>
      <c r="B2365" s="1" t="s">
        <v>1</v>
      </c>
      <c r="C2365" s="1" t="s">
        <v>2</v>
      </c>
      <c r="D2365" s="1" t="s">
        <v>3</v>
      </c>
      <c r="E2365" s="1" t="s">
        <v>4</v>
      </c>
      <c r="F2365" s="2" t="s">
        <v>5</v>
      </c>
      <c r="G2365" s="3" t="s">
        <v>6</v>
      </c>
      <c r="H2365" s="3" t="s">
        <v>7</v>
      </c>
      <c r="I2365" s="6" t="s">
        <v>8</v>
      </c>
      <c r="J2365" s="2" t="s">
        <v>9</v>
      </c>
      <c r="K2365" s="3" t="s">
        <v>10</v>
      </c>
      <c r="L2365" s="2" t="s">
        <v>9</v>
      </c>
    </row>
    <row r="2366" spans="1:12" x14ac:dyDescent="0.25">
      <c r="A2366" s="4">
        <v>45878</v>
      </c>
      <c r="B2366" t="s">
        <v>110</v>
      </c>
      <c r="C2366" t="s">
        <v>1220</v>
      </c>
      <c r="F2366" s="5">
        <v>20748</v>
      </c>
      <c r="G2366" t="s">
        <v>1221</v>
      </c>
      <c r="H2366">
        <v>3124180617</v>
      </c>
      <c r="I2366" s="7" t="s">
        <v>16</v>
      </c>
      <c r="J2366" s="5">
        <v>270000</v>
      </c>
    </row>
    <row r="2367" spans="1:12" x14ac:dyDescent="0.25">
      <c r="I2367" s="7" t="s">
        <v>48</v>
      </c>
      <c r="J2367" s="5">
        <v>35000</v>
      </c>
    </row>
    <row r="2368" spans="1:12" x14ac:dyDescent="0.25">
      <c r="I2368" s="7" t="s">
        <v>17</v>
      </c>
      <c r="J2368" s="5">
        <v>80000</v>
      </c>
    </row>
    <row r="2369" spans="1:12" x14ac:dyDescent="0.25">
      <c r="I2369" s="7" t="s">
        <v>18</v>
      </c>
      <c r="J2369" s="5">
        <v>18000</v>
      </c>
    </row>
    <row r="2371" spans="1:12" x14ac:dyDescent="0.25">
      <c r="I2371" s="7" t="s">
        <v>20</v>
      </c>
      <c r="J2371" s="5">
        <f>SUM(J2366:J2370)</f>
        <v>403000</v>
      </c>
    </row>
    <row r="2373" spans="1:12" x14ac:dyDescent="0.25">
      <c r="A2373" s="1" t="s">
        <v>0</v>
      </c>
      <c r="B2373" s="1" t="s">
        <v>1</v>
      </c>
      <c r="C2373" s="1" t="s">
        <v>2</v>
      </c>
      <c r="D2373" s="1" t="s">
        <v>3</v>
      </c>
      <c r="E2373" s="1" t="s">
        <v>4</v>
      </c>
      <c r="F2373" s="2" t="s">
        <v>5</v>
      </c>
      <c r="G2373" s="3" t="s">
        <v>6</v>
      </c>
      <c r="H2373" s="3" t="s">
        <v>7</v>
      </c>
      <c r="I2373" s="6" t="s">
        <v>8</v>
      </c>
      <c r="J2373" s="2" t="s">
        <v>9</v>
      </c>
      <c r="K2373" s="3" t="s">
        <v>10</v>
      </c>
      <c r="L2373" s="2" t="s">
        <v>9</v>
      </c>
    </row>
    <row r="2374" spans="1:12" x14ac:dyDescent="0.25">
      <c r="A2374" s="4">
        <v>45878</v>
      </c>
      <c r="B2374" t="s">
        <v>1252</v>
      </c>
      <c r="D2374" t="s">
        <v>23</v>
      </c>
      <c r="E2374">
        <v>2025</v>
      </c>
      <c r="F2374" s="5" t="s">
        <v>1253</v>
      </c>
      <c r="G2374" t="s">
        <v>1254</v>
      </c>
      <c r="I2374" s="7" t="s">
        <v>1255</v>
      </c>
    </row>
    <row r="2375" spans="1:12" x14ac:dyDescent="0.25">
      <c r="I2375" s="7" t="s">
        <v>17</v>
      </c>
    </row>
    <row r="2376" spans="1:12" x14ac:dyDescent="0.25">
      <c r="I2376" s="7" t="s">
        <v>1256</v>
      </c>
    </row>
    <row r="2378" spans="1:12" x14ac:dyDescent="0.25">
      <c r="I2378" s="7" t="s">
        <v>20</v>
      </c>
    </row>
    <row r="2380" spans="1:12" x14ac:dyDescent="0.25">
      <c r="A2380" s="1" t="s">
        <v>0</v>
      </c>
      <c r="B2380" s="1" t="s">
        <v>1</v>
      </c>
      <c r="C2380" s="1" t="s">
        <v>2</v>
      </c>
      <c r="D2380" s="1" t="s">
        <v>3</v>
      </c>
      <c r="E2380" s="1" t="s">
        <v>4</v>
      </c>
      <c r="F2380" s="2" t="s">
        <v>5</v>
      </c>
      <c r="G2380" s="3" t="s">
        <v>6</v>
      </c>
      <c r="H2380" s="3" t="s">
        <v>7</v>
      </c>
      <c r="I2380" s="6" t="s">
        <v>8</v>
      </c>
      <c r="J2380" s="2" t="s">
        <v>9</v>
      </c>
      <c r="K2380" s="3" t="s">
        <v>10</v>
      </c>
      <c r="L2380" s="2" t="s">
        <v>9</v>
      </c>
    </row>
    <row r="2381" spans="1:12" x14ac:dyDescent="0.25">
      <c r="A2381" s="4">
        <v>45880</v>
      </c>
      <c r="B2381" t="s">
        <v>1041</v>
      </c>
      <c r="I2381" s="7" t="s">
        <v>172</v>
      </c>
      <c r="J2381" s="5">
        <v>228000</v>
      </c>
    </row>
    <row r="2382" spans="1:12" x14ac:dyDescent="0.25">
      <c r="I2382" s="7" t="s">
        <v>390</v>
      </c>
      <c r="J2382" s="5">
        <v>180000</v>
      </c>
    </row>
    <row r="2383" spans="1:12" x14ac:dyDescent="0.25">
      <c r="I2383" s="7" t="s">
        <v>77</v>
      </c>
      <c r="J2383" s="5">
        <v>22000</v>
      </c>
    </row>
    <row r="2385" spans="1:12" x14ac:dyDescent="0.25">
      <c r="I2385" s="7" t="s">
        <v>20</v>
      </c>
      <c r="J2385" s="5">
        <f>SUM(J2381:J2384)</f>
        <v>430000</v>
      </c>
    </row>
    <row r="2387" spans="1:12" x14ac:dyDescent="0.25">
      <c r="A2387" s="1" t="s">
        <v>0</v>
      </c>
      <c r="B2387" s="1" t="s">
        <v>1</v>
      </c>
      <c r="C2387" s="1" t="s">
        <v>2</v>
      </c>
      <c r="D2387" s="1" t="s">
        <v>3</v>
      </c>
      <c r="E2387" s="1" t="s">
        <v>4</v>
      </c>
      <c r="F2387" s="2" t="s">
        <v>5</v>
      </c>
      <c r="G2387" s="3" t="s">
        <v>6</v>
      </c>
      <c r="H2387" s="3" t="s">
        <v>7</v>
      </c>
      <c r="I2387" s="6" t="s">
        <v>8</v>
      </c>
      <c r="J2387" s="2" t="s">
        <v>9</v>
      </c>
      <c r="K2387" s="3" t="s">
        <v>10</v>
      </c>
      <c r="L2387" s="2" t="s">
        <v>9</v>
      </c>
    </row>
    <row r="2388" spans="1:12" x14ac:dyDescent="0.25">
      <c r="A2388" s="4">
        <v>45880</v>
      </c>
      <c r="B2388" t="s">
        <v>380</v>
      </c>
      <c r="C2388" t="s">
        <v>500</v>
      </c>
      <c r="D2388" t="s">
        <v>29</v>
      </c>
      <c r="I2388" s="7" t="s">
        <v>172</v>
      </c>
      <c r="J2388" s="5">
        <v>228000</v>
      </c>
    </row>
    <row r="2389" spans="1:12" x14ac:dyDescent="0.25">
      <c r="I2389" s="7" t="s">
        <v>1042</v>
      </c>
      <c r="J2389" s="5">
        <v>600000</v>
      </c>
    </row>
    <row r="2390" spans="1:12" x14ac:dyDescent="0.25">
      <c r="I2390" s="7" t="s">
        <v>70</v>
      </c>
      <c r="J2390" s="5">
        <v>125000</v>
      </c>
    </row>
    <row r="2391" spans="1:12" x14ac:dyDescent="0.25">
      <c r="I2391" s="7" t="s">
        <v>18</v>
      </c>
      <c r="J2391" s="5">
        <v>46000</v>
      </c>
    </row>
    <row r="2393" spans="1:12" x14ac:dyDescent="0.25">
      <c r="I2393" s="7" t="s">
        <v>20</v>
      </c>
      <c r="J2393" s="5">
        <f>SUM(J2388:J2392)</f>
        <v>999000</v>
      </c>
    </row>
    <row r="2395" spans="1:12" x14ac:dyDescent="0.25">
      <c r="A2395" s="1" t="s">
        <v>0</v>
      </c>
      <c r="B2395" s="1" t="s">
        <v>1</v>
      </c>
      <c r="C2395" s="1" t="s">
        <v>2</v>
      </c>
      <c r="D2395" s="1" t="s">
        <v>3</v>
      </c>
      <c r="E2395" s="1" t="s">
        <v>4</v>
      </c>
      <c r="F2395" s="2" t="s">
        <v>5</v>
      </c>
      <c r="G2395" s="3" t="s">
        <v>6</v>
      </c>
      <c r="H2395" s="3" t="s">
        <v>7</v>
      </c>
      <c r="I2395" s="6" t="s">
        <v>8</v>
      </c>
      <c r="J2395" s="2" t="s">
        <v>9</v>
      </c>
      <c r="K2395" s="3" t="s">
        <v>10</v>
      </c>
      <c r="L2395" s="2" t="s">
        <v>9</v>
      </c>
    </row>
    <row r="2396" spans="1:12" x14ac:dyDescent="0.25">
      <c r="A2396" s="4">
        <v>45880</v>
      </c>
      <c r="B2396" t="s">
        <v>1043</v>
      </c>
      <c r="C2396" t="s">
        <v>1044</v>
      </c>
      <c r="D2396" t="s">
        <v>29</v>
      </c>
      <c r="G2396" t="s">
        <v>1218</v>
      </c>
      <c r="H2396">
        <v>310555505</v>
      </c>
      <c r="I2396" s="7" t="s">
        <v>1045</v>
      </c>
      <c r="J2396" s="5">
        <v>600000</v>
      </c>
    </row>
    <row r="2397" spans="1:12" x14ac:dyDescent="0.25">
      <c r="I2397" s="7" t="s">
        <v>125</v>
      </c>
      <c r="J2397" s="5">
        <v>180000</v>
      </c>
    </row>
    <row r="2398" spans="1:12" x14ac:dyDescent="0.25">
      <c r="I2398" s="7" t="s">
        <v>1046</v>
      </c>
      <c r="J2398" s="5">
        <v>120000</v>
      </c>
    </row>
    <row r="2400" spans="1:12" x14ac:dyDescent="0.25">
      <c r="I2400" s="7" t="s">
        <v>20</v>
      </c>
      <c r="J2400" s="5">
        <f>SUM(J2396:J2399)</f>
        <v>900000</v>
      </c>
    </row>
    <row r="2402" spans="1:12" x14ac:dyDescent="0.25">
      <c r="A2402" s="1" t="s">
        <v>0</v>
      </c>
      <c r="B2402" s="1" t="s">
        <v>1</v>
      </c>
      <c r="C2402" s="1" t="s">
        <v>2</v>
      </c>
      <c r="D2402" s="1" t="s">
        <v>3</v>
      </c>
      <c r="E2402" s="1" t="s">
        <v>4</v>
      </c>
      <c r="F2402" s="2" t="s">
        <v>5</v>
      </c>
      <c r="G2402" s="3" t="s">
        <v>6</v>
      </c>
      <c r="H2402" s="3" t="s">
        <v>7</v>
      </c>
      <c r="I2402" s="6" t="s">
        <v>8</v>
      </c>
      <c r="J2402" s="2" t="s">
        <v>9</v>
      </c>
      <c r="K2402" s="3" t="s">
        <v>10</v>
      </c>
      <c r="L2402" s="2" t="s">
        <v>9</v>
      </c>
    </row>
    <row r="2403" spans="1:12" x14ac:dyDescent="0.25">
      <c r="A2403" s="4">
        <v>45880</v>
      </c>
      <c r="B2403" t="s">
        <v>21</v>
      </c>
      <c r="C2403" t="s">
        <v>1047</v>
      </c>
      <c r="D2403" t="s">
        <v>153</v>
      </c>
      <c r="G2403" t="s">
        <v>1049</v>
      </c>
      <c r="I2403" s="7" t="s">
        <v>105</v>
      </c>
      <c r="J2403" s="5">
        <v>70000</v>
      </c>
    </row>
    <row r="2404" spans="1:12" x14ac:dyDescent="0.25">
      <c r="C2404" t="s">
        <v>1048</v>
      </c>
      <c r="I2404" s="7" t="s">
        <v>100</v>
      </c>
      <c r="J2404" s="5">
        <v>30000</v>
      </c>
    </row>
    <row r="2405" spans="1:12" x14ac:dyDescent="0.25">
      <c r="I2405" s="7" t="s">
        <v>363</v>
      </c>
      <c r="J2405" s="5">
        <v>40000</v>
      </c>
    </row>
    <row r="2407" spans="1:12" x14ac:dyDescent="0.25">
      <c r="I2407" s="7" t="s">
        <v>20</v>
      </c>
      <c r="J2407" s="5">
        <f>SUM(J2403:J2406)</f>
        <v>140000</v>
      </c>
    </row>
    <row r="2409" spans="1:12" x14ac:dyDescent="0.25">
      <c r="A2409" s="1" t="s">
        <v>0</v>
      </c>
      <c r="B2409" s="1" t="s">
        <v>1</v>
      </c>
      <c r="C2409" s="1" t="s">
        <v>2</v>
      </c>
      <c r="D2409" s="1" t="s">
        <v>3</v>
      </c>
      <c r="E2409" s="1" t="s">
        <v>4</v>
      </c>
      <c r="F2409" s="2" t="s">
        <v>5</v>
      </c>
      <c r="G2409" s="3" t="s">
        <v>6</v>
      </c>
      <c r="H2409" s="3" t="s">
        <v>7</v>
      </c>
      <c r="I2409" s="6" t="s">
        <v>8</v>
      </c>
      <c r="J2409" s="2" t="s">
        <v>9</v>
      </c>
      <c r="K2409" s="3" t="s">
        <v>10</v>
      </c>
      <c r="L2409" s="2" t="s">
        <v>9</v>
      </c>
    </row>
    <row r="2410" spans="1:12" x14ac:dyDescent="0.25">
      <c r="A2410" s="4">
        <v>45880</v>
      </c>
      <c r="B2410" t="s">
        <v>292</v>
      </c>
      <c r="C2410" t="s">
        <v>154</v>
      </c>
      <c r="D2410" t="s">
        <v>29</v>
      </c>
      <c r="F2410" s="5">
        <v>137800</v>
      </c>
      <c r="G2410" t="s">
        <v>155</v>
      </c>
      <c r="I2410" s="7" t="s">
        <v>25</v>
      </c>
      <c r="J2410" s="5">
        <v>240000</v>
      </c>
    </row>
    <row r="2411" spans="1:12" x14ac:dyDescent="0.25">
      <c r="I2411" s="7" t="s">
        <v>1050</v>
      </c>
      <c r="J2411" s="5">
        <v>30000</v>
      </c>
    </row>
    <row r="2413" spans="1:12" x14ac:dyDescent="0.25">
      <c r="I2413" s="7" t="s">
        <v>20</v>
      </c>
      <c r="J2413" s="5">
        <f>SUM(J2410:J2412)</f>
        <v>270000</v>
      </c>
    </row>
    <row r="2415" spans="1:12" x14ac:dyDescent="0.25">
      <c r="A2415" s="1" t="s">
        <v>0</v>
      </c>
      <c r="B2415" s="1" t="s">
        <v>1</v>
      </c>
      <c r="C2415" s="1" t="s">
        <v>2</v>
      </c>
      <c r="D2415" s="1" t="s">
        <v>3</v>
      </c>
      <c r="E2415" s="1" t="s">
        <v>4</v>
      </c>
      <c r="F2415" s="2" t="s">
        <v>5</v>
      </c>
      <c r="G2415" s="3" t="s">
        <v>6</v>
      </c>
      <c r="H2415" s="3" t="s">
        <v>7</v>
      </c>
      <c r="I2415" s="6" t="s">
        <v>8</v>
      </c>
      <c r="J2415" s="2" t="s">
        <v>9</v>
      </c>
      <c r="K2415" s="3" t="s">
        <v>10</v>
      </c>
      <c r="L2415" s="2" t="s">
        <v>9</v>
      </c>
    </row>
    <row r="2416" spans="1:12" x14ac:dyDescent="0.25">
      <c r="A2416" s="4">
        <v>45880</v>
      </c>
      <c r="B2416" t="s">
        <v>21</v>
      </c>
      <c r="C2416" t="s">
        <v>987</v>
      </c>
      <c r="D2416" t="s">
        <v>153</v>
      </c>
      <c r="E2416">
        <v>2014</v>
      </c>
      <c r="F2416" s="5">
        <v>40343</v>
      </c>
      <c r="G2416" t="s">
        <v>988</v>
      </c>
      <c r="H2416">
        <v>3502614783</v>
      </c>
      <c r="I2416" s="7" t="s">
        <v>920</v>
      </c>
      <c r="J2416" s="5">
        <v>390000</v>
      </c>
    </row>
    <row r="2417" spans="1:12" x14ac:dyDescent="0.25">
      <c r="I2417" s="7" t="s">
        <v>77</v>
      </c>
      <c r="J2417" s="5">
        <v>22000</v>
      </c>
    </row>
    <row r="2418" spans="1:12" x14ac:dyDescent="0.25">
      <c r="I2418" s="7" t="s">
        <v>132</v>
      </c>
      <c r="J2418" s="5">
        <v>192000</v>
      </c>
    </row>
    <row r="2419" spans="1:12" x14ac:dyDescent="0.25">
      <c r="I2419" s="7" t="s">
        <v>18</v>
      </c>
      <c r="J2419" s="5">
        <v>46000</v>
      </c>
    </row>
    <row r="2420" spans="1:12" x14ac:dyDescent="0.25">
      <c r="I2420" s="7" t="s">
        <v>26</v>
      </c>
      <c r="J2420" s="5">
        <v>120000</v>
      </c>
    </row>
    <row r="2421" spans="1:12" x14ac:dyDescent="0.25">
      <c r="I2421" s="7" t="s">
        <v>989</v>
      </c>
      <c r="J2421" s="5">
        <v>25000</v>
      </c>
    </row>
    <row r="2422" spans="1:12" x14ac:dyDescent="0.25">
      <c r="I2422" s="7" t="s">
        <v>126</v>
      </c>
      <c r="J2422" s="5">
        <v>450000</v>
      </c>
    </row>
    <row r="2423" spans="1:12" x14ac:dyDescent="0.25">
      <c r="I2423" s="7" t="s">
        <v>398</v>
      </c>
    </row>
    <row r="2425" spans="1:12" x14ac:dyDescent="0.25">
      <c r="I2425" s="7" t="s">
        <v>20</v>
      </c>
      <c r="J2425" s="5">
        <f>SUM(J2416:J2424)</f>
        <v>1245000</v>
      </c>
    </row>
    <row r="2427" spans="1:12" x14ac:dyDescent="0.25">
      <c r="A2427" s="1" t="s">
        <v>0</v>
      </c>
      <c r="B2427" s="1" t="s">
        <v>1</v>
      </c>
      <c r="C2427" s="1" t="s">
        <v>2</v>
      </c>
      <c r="D2427" s="1" t="s">
        <v>3</v>
      </c>
      <c r="E2427" s="1" t="s">
        <v>4</v>
      </c>
      <c r="F2427" s="2" t="s">
        <v>5</v>
      </c>
      <c r="G2427" s="3" t="s">
        <v>6</v>
      </c>
      <c r="H2427" s="3" t="s">
        <v>7</v>
      </c>
      <c r="I2427" s="6" t="s">
        <v>8</v>
      </c>
      <c r="J2427" s="2" t="s">
        <v>9</v>
      </c>
      <c r="K2427" s="3" t="s">
        <v>10</v>
      </c>
      <c r="L2427" s="2" t="s">
        <v>9</v>
      </c>
    </row>
    <row r="2428" spans="1:12" x14ac:dyDescent="0.25">
      <c r="A2428" s="4">
        <v>45882</v>
      </c>
      <c r="B2428" t="s">
        <v>21</v>
      </c>
      <c r="C2428" t="s">
        <v>1051</v>
      </c>
      <c r="D2428" t="s">
        <v>395</v>
      </c>
      <c r="G2428" t="s">
        <v>1052</v>
      </c>
      <c r="I2428" s="7" t="s">
        <v>159</v>
      </c>
      <c r="J2428" s="5">
        <v>150000</v>
      </c>
    </row>
    <row r="2429" spans="1:12" x14ac:dyDescent="0.25">
      <c r="I2429" s="7" t="s">
        <v>324</v>
      </c>
      <c r="J2429" s="5">
        <v>360000</v>
      </c>
    </row>
    <row r="2430" spans="1:12" x14ac:dyDescent="0.25">
      <c r="I2430" s="7" t="s">
        <v>88</v>
      </c>
      <c r="J2430" s="5">
        <v>300000</v>
      </c>
    </row>
    <row r="2431" spans="1:12" x14ac:dyDescent="0.25">
      <c r="I2431" s="7" t="s">
        <v>1040</v>
      </c>
      <c r="J2431" s="5">
        <v>434000</v>
      </c>
    </row>
    <row r="2432" spans="1:12" x14ac:dyDescent="0.25">
      <c r="I2432" s="7" t="s">
        <v>718</v>
      </c>
      <c r="J2432" s="5">
        <v>40000</v>
      </c>
    </row>
    <row r="2434" spans="1:12" x14ac:dyDescent="0.25">
      <c r="I2434" s="7" t="s">
        <v>20</v>
      </c>
      <c r="J2434" s="5">
        <f>SUM(J2428:J2433)</f>
        <v>1284000</v>
      </c>
    </row>
    <row r="2436" spans="1:12" x14ac:dyDescent="0.25">
      <c r="A2436" s="1" t="s">
        <v>0</v>
      </c>
      <c r="B2436" s="1" t="s">
        <v>1</v>
      </c>
      <c r="C2436" s="1" t="s">
        <v>2</v>
      </c>
      <c r="D2436" s="1" t="s">
        <v>3</v>
      </c>
      <c r="E2436" s="1" t="s">
        <v>4</v>
      </c>
      <c r="F2436" s="2" t="s">
        <v>5</v>
      </c>
      <c r="G2436" s="3" t="s">
        <v>6</v>
      </c>
      <c r="H2436" s="3" t="s">
        <v>7</v>
      </c>
      <c r="I2436" s="6" t="s">
        <v>8</v>
      </c>
      <c r="J2436" s="2" t="s">
        <v>9</v>
      </c>
      <c r="K2436" s="3" t="s">
        <v>10</v>
      </c>
      <c r="L2436" s="2" t="s">
        <v>9</v>
      </c>
    </row>
    <row r="2437" spans="1:12" x14ac:dyDescent="0.25">
      <c r="A2437" s="4">
        <v>45882</v>
      </c>
      <c r="B2437" t="s">
        <v>1053</v>
      </c>
      <c r="C2437" t="s">
        <v>1054</v>
      </c>
      <c r="D2437" t="s">
        <v>29</v>
      </c>
      <c r="F2437" s="5">
        <v>29498</v>
      </c>
      <c r="I2437" s="7" t="s">
        <v>920</v>
      </c>
      <c r="J2437" s="5">
        <v>280000</v>
      </c>
    </row>
    <row r="2438" spans="1:12" x14ac:dyDescent="0.25">
      <c r="I2438" s="7" t="s">
        <v>77</v>
      </c>
      <c r="J2438" s="5">
        <v>20000</v>
      </c>
    </row>
    <row r="2439" spans="1:12" x14ac:dyDescent="0.25">
      <c r="I2439" s="7" t="s">
        <v>1055</v>
      </c>
      <c r="J2439" s="5">
        <v>20000</v>
      </c>
    </row>
    <row r="2441" spans="1:12" x14ac:dyDescent="0.25">
      <c r="I2441" s="7" t="s">
        <v>20</v>
      </c>
      <c r="J2441" s="5">
        <f>SUM(J2437:J2440)</f>
        <v>320000</v>
      </c>
    </row>
    <row r="2443" spans="1:12" x14ac:dyDescent="0.25">
      <c r="A2443" s="1" t="s">
        <v>0</v>
      </c>
      <c r="B2443" s="1" t="s">
        <v>1</v>
      </c>
      <c r="C2443" s="1" t="s">
        <v>2</v>
      </c>
      <c r="D2443" s="1" t="s">
        <v>3</v>
      </c>
      <c r="E2443" s="1" t="s">
        <v>4</v>
      </c>
      <c r="F2443" s="2" t="s">
        <v>5</v>
      </c>
      <c r="G2443" s="3" t="s">
        <v>6</v>
      </c>
      <c r="H2443" s="3" t="s">
        <v>7</v>
      </c>
      <c r="I2443" s="6" t="s">
        <v>8</v>
      </c>
      <c r="J2443" s="2" t="s">
        <v>9</v>
      </c>
      <c r="K2443" s="3" t="s">
        <v>10</v>
      </c>
      <c r="L2443" s="2" t="s">
        <v>9</v>
      </c>
    </row>
    <row r="2444" spans="1:12" x14ac:dyDescent="0.25">
      <c r="A2444" s="4">
        <v>45881</v>
      </c>
      <c r="B2444" t="s">
        <v>40</v>
      </c>
      <c r="C2444" t="s">
        <v>1056</v>
      </c>
      <c r="D2444" t="s">
        <v>53</v>
      </c>
      <c r="F2444" s="5">
        <v>2007</v>
      </c>
      <c r="G2444" t="s">
        <v>1057</v>
      </c>
      <c r="I2444" s="7" t="s">
        <v>172</v>
      </c>
    </row>
    <row r="2446" spans="1:12" x14ac:dyDescent="0.25">
      <c r="I2446" s="7" t="s">
        <v>20</v>
      </c>
      <c r="J2446" s="5">
        <v>228000</v>
      </c>
    </row>
    <row r="2448" spans="1:12" x14ac:dyDescent="0.25">
      <c r="A2448" s="1" t="s">
        <v>0</v>
      </c>
      <c r="B2448" s="1" t="s">
        <v>1</v>
      </c>
      <c r="C2448" s="1" t="s">
        <v>2</v>
      </c>
      <c r="D2448" s="1" t="s">
        <v>3</v>
      </c>
      <c r="E2448" s="1" t="s">
        <v>4</v>
      </c>
      <c r="F2448" s="2" t="s">
        <v>5</v>
      </c>
      <c r="G2448" s="3" t="s">
        <v>6</v>
      </c>
      <c r="H2448" s="3" t="s">
        <v>7</v>
      </c>
      <c r="I2448" s="6" t="s">
        <v>8</v>
      </c>
      <c r="J2448" s="2" t="s">
        <v>9</v>
      </c>
      <c r="K2448" s="3" t="s">
        <v>10</v>
      </c>
      <c r="L2448" s="2" t="s">
        <v>9</v>
      </c>
    </row>
    <row r="2449" spans="1:12" x14ac:dyDescent="0.25">
      <c r="A2449" s="4">
        <v>45881</v>
      </c>
      <c r="B2449" t="s">
        <v>21</v>
      </c>
      <c r="C2449" t="s">
        <v>1058</v>
      </c>
      <c r="D2449" t="s">
        <v>153</v>
      </c>
      <c r="F2449" s="5">
        <v>45728</v>
      </c>
      <c r="I2449" s="7" t="s">
        <v>1059</v>
      </c>
      <c r="J2449" s="5">
        <v>150000</v>
      </c>
    </row>
    <row r="2450" spans="1:12" x14ac:dyDescent="0.25">
      <c r="I2450" s="7" t="s">
        <v>540</v>
      </c>
      <c r="J2450" s="5">
        <v>150000</v>
      </c>
    </row>
    <row r="2451" spans="1:12" x14ac:dyDescent="0.25">
      <c r="I2451" s="7" t="s">
        <v>1060</v>
      </c>
      <c r="J2451" s="5">
        <v>180000</v>
      </c>
    </row>
    <row r="2452" spans="1:12" x14ac:dyDescent="0.25">
      <c r="I2452" s="7" t="s">
        <v>77</v>
      </c>
      <c r="J2452" s="5">
        <v>20000</v>
      </c>
    </row>
    <row r="2453" spans="1:12" x14ac:dyDescent="0.25">
      <c r="I2453" s="7" t="s">
        <v>17</v>
      </c>
      <c r="J2453" s="5">
        <v>232000</v>
      </c>
    </row>
    <row r="2454" spans="1:12" x14ac:dyDescent="0.25">
      <c r="I2454" s="7" t="s">
        <v>18</v>
      </c>
      <c r="J2454" s="5">
        <v>48000</v>
      </c>
    </row>
    <row r="2456" spans="1:12" x14ac:dyDescent="0.25">
      <c r="I2456" s="7" t="s">
        <v>20</v>
      </c>
      <c r="J2456" s="5">
        <f>SUM(J2449:J2455)</f>
        <v>780000</v>
      </c>
    </row>
    <row r="2458" spans="1:12" x14ac:dyDescent="0.25">
      <c r="A2458" s="1" t="s">
        <v>0</v>
      </c>
      <c r="B2458" s="1" t="s">
        <v>1</v>
      </c>
      <c r="C2458" s="1" t="s">
        <v>2</v>
      </c>
      <c r="D2458" s="1" t="s">
        <v>3</v>
      </c>
      <c r="E2458" s="1" t="s">
        <v>4</v>
      </c>
      <c r="F2458" s="2" t="s">
        <v>5</v>
      </c>
      <c r="G2458" s="3" t="s">
        <v>6</v>
      </c>
      <c r="H2458" s="3" t="s">
        <v>7</v>
      </c>
      <c r="I2458" s="6" t="s">
        <v>8</v>
      </c>
      <c r="J2458" s="2" t="s">
        <v>9</v>
      </c>
      <c r="K2458" s="3" t="s">
        <v>10</v>
      </c>
      <c r="L2458" s="2" t="s">
        <v>9</v>
      </c>
    </row>
    <row r="2459" spans="1:12" x14ac:dyDescent="0.25">
      <c r="A2459" s="4">
        <v>45881</v>
      </c>
      <c r="B2459" t="s">
        <v>21</v>
      </c>
      <c r="C2459" t="s">
        <v>1261</v>
      </c>
      <c r="D2459" t="s">
        <v>153</v>
      </c>
      <c r="E2459">
        <v>2013</v>
      </c>
      <c r="F2459" s="5">
        <v>45722</v>
      </c>
      <c r="G2459" t="s">
        <v>1262</v>
      </c>
      <c r="H2459">
        <v>3004581212</v>
      </c>
      <c r="I2459" s="7" t="s">
        <v>921</v>
      </c>
    </row>
    <row r="2460" spans="1:12" x14ac:dyDescent="0.25">
      <c r="I2460" s="7" t="s">
        <v>1263</v>
      </c>
    </row>
    <row r="2461" spans="1:12" x14ac:dyDescent="0.25">
      <c r="I2461" s="7" t="s">
        <v>1264</v>
      </c>
    </row>
    <row r="2462" spans="1:12" x14ac:dyDescent="0.25">
      <c r="I2462" s="7" t="s">
        <v>132</v>
      </c>
    </row>
    <row r="2464" spans="1:12" x14ac:dyDescent="0.25">
      <c r="I2464" s="7" t="s">
        <v>20</v>
      </c>
    </row>
    <row r="2466" spans="1:12" x14ac:dyDescent="0.25">
      <c r="A2466" s="1" t="s">
        <v>0</v>
      </c>
      <c r="B2466" s="1" t="s">
        <v>1</v>
      </c>
      <c r="C2466" s="1" t="s">
        <v>2</v>
      </c>
      <c r="D2466" s="1" t="s">
        <v>3</v>
      </c>
      <c r="E2466" s="1" t="s">
        <v>4</v>
      </c>
      <c r="F2466" s="2" t="s">
        <v>5</v>
      </c>
      <c r="G2466" s="3" t="s">
        <v>6</v>
      </c>
      <c r="H2466" s="3" t="s">
        <v>7</v>
      </c>
      <c r="I2466" s="6" t="s">
        <v>8</v>
      </c>
      <c r="J2466" s="2" t="s">
        <v>9</v>
      </c>
      <c r="K2466" s="3" t="s">
        <v>10</v>
      </c>
      <c r="L2466" s="2" t="s">
        <v>9</v>
      </c>
    </row>
    <row r="2467" spans="1:12" x14ac:dyDescent="0.25">
      <c r="A2467" s="4">
        <v>45882</v>
      </c>
      <c r="B2467" t="s">
        <v>1061</v>
      </c>
      <c r="D2467" t="s">
        <v>84</v>
      </c>
      <c r="G2467" t="s">
        <v>1062</v>
      </c>
      <c r="I2467" s="7" t="s">
        <v>1063</v>
      </c>
      <c r="J2467" s="5">
        <v>90000</v>
      </c>
    </row>
    <row r="2468" spans="1:12" x14ac:dyDescent="0.25">
      <c r="I2468" s="7" t="s">
        <v>227</v>
      </c>
      <c r="J2468" s="5">
        <v>55000</v>
      </c>
    </row>
    <row r="2469" spans="1:12" x14ac:dyDescent="0.25">
      <c r="I2469" s="7" t="s">
        <v>70</v>
      </c>
      <c r="J2469" s="5">
        <v>42000</v>
      </c>
    </row>
    <row r="2470" spans="1:12" x14ac:dyDescent="0.25">
      <c r="I2470" s="7" t="s">
        <v>100</v>
      </c>
      <c r="J2470" s="5">
        <v>120000</v>
      </c>
    </row>
    <row r="2472" spans="1:12" x14ac:dyDescent="0.25">
      <c r="I2472" s="7" t="s">
        <v>20</v>
      </c>
      <c r="J2472" s="5">
        <f>SUM(J2467:J2471)</f>
        <v>307000</v>
      </c>
    </row>
    <row r="2474" spans="1:12" x14ac:dyDescent="0.25">
      <c r="A2474" s="1" t="s">
        <v>0</v>
      </c>
      <c r="B2474" s="1" t="s">
        <v>1</v>
      </c>
      <c r="C2474" s="1" t="s">
        <v>2</v>
      </c>
      <c r="D2474" s="1" t="s">
        <v>3</v>
      </c>
      <c r="E2474" s="1" t="s">
        <v>4</v>
      </c>
      <c r="F2474" s="2" t="s">
        <v>5</v>
      </c>
      <c r="G2474" s="3" t="s">
        <v>6</v>
      </c>
      <c r="H2474" s="3" t="s">
        <v>7</v>
      </c>
      <c r="I2474" s="6" t="s">
        <v>8</v>
      </c>
      <c r="J2474" s="2" t="s">
        <v>9</v>
      </c>
      <c r="K2474" s="3" t="s">
        <v>10</v>
      </c>
      <c r="L2474" s="2" t="s">
        <v>9</v>
      </c>
    </row>
    <row r="2475" spans="1:12" x14ac:dyDescent="0.25">
      <c r="A2475" s="4">
        <v>45888</v>
      </c>
      <c r="B2475" t="s">
        <v>21</v>
      </c>
      <c r="C2475" t="s">
        <v>1064</v>
      </c>
      <c r="D2475" t="s">
        <v>153</v>
      </c>
      <c r="F2475" s="5">
        <v>73368</v>
      </c>
      <c r="I2475" s="7" t="s">
        <v>1065</v>
      </c>
    </row>
    <row r="2476" spans="1:12" x14ac:dyDescent="0.25">
      <c r="I2476" s="7" t="s">
        <v>169</v>
      </c>
    </row>
    <row r="2478" spans="1:12" x14ac:dyDescent="0.25">
      <c r="I2478" s="7" t="s">
        <v>20</v>
      </c>
    </row>
    <row r="2480" spans="1:12" x14ac:dyDescent="0.25">
      <c r="A2480" s="1" t="s">
        <v>0</v>
      </c>
      <c r="B2480" s="1" t="s">
        <v>1</v>
      </c>
      <c r="C2480" s="1" t="s">
        <v>2</v>
      </c>
      <c r="D2480" s="1" t="s">
        <v>3</v>
      </c>
      <c r="E2480" s="1" t="s">
        <v>4</v>
      </c>
      <c r="F2480" s="2" t="s">
        <v>5</v>
      </c>
      <c r="G2480" s="3" t="s">
        <v>6</v>
      </c>
      <c r="H2480" s="3" t="s">
        <v>7</v>
      </c>
      <c r="I2480" s="6" t="s">
        <v>8</v>
      </c>
      <c r="J2480" s="2" t="s">
        <v>9</v>
      </c>
      <c r="K2480" s="3" t="s">
        <v>10</v>
      </c>
      <c r="L2480" s="2" t="s">
        <v>9</v>
      </c>
    </row>
    <row r="2481" spans="1:12" x14ac:dyDescent="0.25">
      <c r="A2481" s="4">
        <v>45888</v>
      </c>
      <c r="B2481" t="s">
        <v>1230</v>
      </c>
      <c r="C2481" t="s">
        <v>1231</v>
      </c>
      <c r="E2481">
        <v>2014</v>
      </c>
      <c r="F2481" s="5">
        <v>70255</v>
      </c>
      <c r="G2481" t="s">
        <v>1232</v>
      </c>
      <c r="H2481">
        <v>3159277643</v>
      </c>
      <c r="I2481" s="7" t="s">
        <v>1233</v>
      </c>
    </row>
    <row r="2482" spans="1:12" x14ac:dyDescent="0.25">
      <c r="I2482" s="7" t="s">
        <v>1234</v>
      </c>
    </row>
    <row r="2484" spans="1:12" x14ac:dyDescent="0.25">
      <c r="I2484" s="7" t="s">
        <v>1235</v>
      </c>
    </row>
    <row r="2486" spans="1:12" x14ac:dyDescent="0.25">
      <c r="A2486" s="1" t="s">
        <v>0</v>
      </c>
      <c r="B2486" s="1" t="s">
        <v>1</v>
      </c>
      <c r="C2486" s="1" t="s">
        <v>2</v>
      </c>
      <c r="D2486" s="1" t="s">
        <v>3</v>
      </c>
      <c r="E2486" s="1" t="s">
        <v>4</v>
      </c>
      <c r="F2486" s="2" t="s">
        <v>5</v>
      </c>
      <c r="G2486" s="3" t="s">
        <v>6</v>
      </c>
      <c r="H2486" s="3" t="s">
        <v>7</v>
      </c>
      <c r="I2486" s="6" t="s">
        <v>8</v>
      </c>
      <c r="J2486" s="2" t="s">
        <v>9</v>
      </c>
      <c r="K2486" s="3" t="s">
        <v>10</v>
      </c>
      <c r="L2486" s="2" t="s">
        <v>9</v>
      </c>
    </row>
    <row r="2487" spans="1:12" x14ac:dyDescent="0.25">
      <c r="A2487" s="4">
        <v>45889</v>
      </c>
      <c r="B2487" t="s">
        <v>1066</v>
      </c>
      <c r="C2487" t="s">
        <v>1067</v>
      </c>
      <c r="F2487" s="5">
        <v>36769</v>
      </c>
      <c r="I2487" s="7" t="s">
        <v>17</v>
      </c>
      <c r="J2487" s="5">
        <v>243000</v>
      </c>
    </row>
    <row r="2488" spans="1:12" x14ac:dyDescent="0.25">
      <c r="I2488" s="7" t="s">
        <v>18</v>
      </c>
      <c r="J2488" s="5">
        <v>46000</v>
      </c>
    </row>
    <row r="2489" spans="1:12" x14ac:dyDescent="0.25">
      <c r="I2489" s="7" t="s">
        <v>1068</v>
      </c>
      <c r="J2489" s="5">
        <v>80000</v>
      </c>
    </row>
    <row r="2490" spans="1:12" x14ac:dyDescent="0.25">
      <c r="I2490" s="7" t="s">
        <v>100</v>
      </c>
      <c r="J2490" s="5">
        <v>40000</v>
      </c>
    </row>
    <row r="2492" spans="1:12" x14ac:dyDescent="0.25">
      <c r="I2492" s="7" t="s">
        <v>20</v>
      </c>
      <c r="J2492" s="5">
        <f>SUM(J2487:J2491)</f>
        <v>409000</v>
      </c>
    </row>
    <row r="2494" spans="1:12" x14ac:dyDescent="0.25">
      <c r="A2494" s="1" t="s">
        <v>0</v>
      </c>
      <c r="B2494" s="1" t="s">
        <v>1</v>
      </c>
      <c r="C2494" s="1" t="s">
        <v>2</v>
      </c>
      <c r="D2494" s="1" t="s">
        <v>3</v>
      </c>
      <c r="E2494" s="1" t="s">
        <v>4</v>
      </c>
      <c r="F2494" s="2" t="s">
        <v>5</v>
      </c>
      <c r="G2494" s="3" t="s">
        <v>6</v>
      </c>
      <c r="H2494" s="3" t="s">
        <v>7</v>
      </c>
      <c r="I2494" s="6" t="s">
        <v>8</v>
      </c>
      <c r="J2494" s="2" t="s">
        <v>9</v>
      </c>
      <c r="K2494" s="3" t="s">
        <v>10</v>
      </c>
      <c r="L2494" s="2" t="s">
        <v>9</v>
      </c>
    </row>
    <row r="2495" spans="1:12" x14ac:dyDescent="0.25">
      <c r="A2495" s="4">
        <v>45889</v>
      </c>
      <c r="B2495" t="s">
        <v>1226</v>
      </c>
      <c r="C2495" t="s">
        <v>1227</v>
      </c>
      <c r="D2495" t="s">
        <v>84</v>
      </c>
      <c r="F2495" s="5">
        <v>55003</v>
      </c>
      <c r="G2495" t="s">
        <v>544</v>
      </c>
      <c r="I2495" s="7" t="s">
        <v>1228</v>
      </c>
      <c r="J2495" s="5">
        <v>80000</v>
      </c>
    </row>
    <row r="2496" spans="1:12" x14ac:dyDescent="0.25">
      <c r="I2496" s="7" t="s">
        <v>1229</v>
      </c>
      <c r="J2496" s="5">
        <v>150000</v>
      </c>
    </row>
    <row r="2497" spans="1:12" x14ac:dyDescent="0.25">
      <c r="I2497" s="7" t="s">
        <v>169</v>
      </c>
      <c r="J2497" s="5">
        <v>35000</v>
      </c>
    </row>
    <row r="2499" spans="1:12" x14ac:dyDescent="0.25">
      <c r="I2499" s="7" t="s">
        <v>20</v>
      </c>
      <c r="J2499" s="5">
        <f>SUM(J2495:J2498)</f>
        <v>265000</v>
      </c>
    </row>
    <row r="2501" spans="1:12" x14ac:dyDescent="0.25">
      <c r="A2501" s="1" t="s">
        <v>0</v>
      </c>
      <c r="B2501" s="1" t="s">
        <v>1</v>
      </c>
      <c r="C2501" s="1" t="s">
        <v>2</v>
      </c>
      <c r="D2501" s="1" t="s">
        <v>3</v>
      </c>
      <c r="E2501" s="1" t="s">
        <v>4</v>
      </c>
      <c r="F2501" s="2" t="s">
        <v>5</v>
      </c>
      <c r="G2501" s="3" t="s">
        <v>6</v>
      </c>
      <c r="H2501" s="3" t="s">
        <v>7</v>
      </c>
      <c r="I2501" s="6" t="s">
        <v>8</v>
      </c>
      <c r="J2501" s="2" t="s">
        <v>9</v>
      </c>
      <c r="K2501" s="3" t="s">
        <v>10</v>
      </c>
      <c r="L2501" s="2" t="s">
        <v>9</v>
      </c>
    </row>
    <row r="2502" spans="1:12" x14ac:dyDescent="0.25">
      <c r="A2502" s="4">
        <v>45889</v>
      </c>
      <c r="B2502" t="s">
        <v>820</v>
      </c>
      <c r="C2502" t="s">
        <v>1154</v>
      </c>
      <c r="D2502" t="s">
        <v>23</v>
      </c>
      <c r="F2502" s="5">
        <v>109577</v>
      </c>
      <c r="G2502" t="s">
        <v>1155</v>
      </c>
      <c r="H2502">
        <v>3188032853</v>
      </c>
      <c r="I2502" s="7" t="s">
        <v>17</v>
      </c>
    </row>
    <row r="2503" spans="1:12" x14ac:dyDescent="0.25">
      <c r="I2503" s="7" t="s">
        <v>172</v>
      </c>
    </row>
    <row r="2504" spans="1:12" x14ac:dyDescent="0.25">
      <c r="I2504" s="7" t="s">
        <v>1156</v>
      </c>
    </row>
    <row r="2506" spans="1:12" x14ac:dyDescent="0.25">
      <c r="I2506" s="7" t="s">
        <v>20</v>
      </c>
    </row>
    <row r="2508" spans="1:12" x14ac:dyDescent="0.25">
      <c r="A2508" s="1" t="s">
        <v>0</v>
      </c>
      <c r="B2508" s="1" t="s">
        <v>1</v>
      </c>
      <c r="C2508" s="1" t="s">
        <v>2</v>
      </c>
      <c r="D2508" s="1" t="s">
        <v>3</v>
      </c>
      <c r="E2508" s="1" t="s">
        <v>4</v>
      </c>
      <c r="F2508" s="2" t="s">
        <v>5</v>
      </c>
      <c r="G2508" s="3" t="s">
        <v>6</v>
      </c>
      <c r="H2508" s="3" t="s">
        <v>7</v>
      </c>
      <c r="I2508" s="6" t="s">
        <v>8</v>
      </c>
      <c r="J2508" s="2" t="s">
        <v>9</v>
      </c>
      <c r="K2508" s="3" t="s">
        <v>10</v>
      </c>
      <c r="L2508" s="2" t="s">
        <v>9</v>
      </c>
    </row>
    <row r="2509" spans="1:12" x14ac:dyDescent="0.25">
      <c r="A2509" s="4">
        <v>45890</v>
      </c>
      <c r="B2509" t="s">
        <v>21</v>
      </c>
      <c r="C2509" t="s">
        <v>1069</v>
      </c>
      <c r="D2509" t="s">
        <v>23</v>
      </c>
      <c r="E2509">
        <v>2017</v>
      </c>
      <c r="F2509" s="5">
        <v>67583</v>
      </c>
      <c r="G2509" t="s">
        <v>1070</v>
      </c>
      <c r="I2509" s="7" t="s">
        <v>1071</v>
      </c>
      <c r="J2509" s="5">
        <v>150000</v>
      </c>
    </row>
    <row r="2510" spans="1:12" x14ac:dyDescent="0.25">
      <c r="I2510" s="7" t="s">
        <v>26</v>
      </c>
      <c r="J2510" s="5">
        <v>80000</v>
      </c>
    </row>
    <row r="2511" spans="1:12" x14ac:dyDescent="0.25">
      <c r="I2511" s="7" t="s">
        <v>809</v>
      </c>
      <c r="J2511" s="5">
        <v>150000</v>
      </c>
    </row>
    <row r="2513" spans="1:12" x14ac:dyDescent="0.25">
      <c r="I2513" s="7" t="s">
        <v>20</v>
      </c>
      <c r="J2513" s="5">
        <f>SUM(J2509:J2512)</f>
        <v>380000</v>
      </c>
    </row>
    <row r="2515" spans="1:12" x14ac:dyDescent="0.25">
      <c r="A2515" s="1" t="s">
        <v>0</v>
      </c>
      <c r="B2515" s="1" t="s">
        <v>1</v>
      </c>
      <c r="C2515" s="1" t="s">
        <v>2</v>
      </c>
      <c r="D2515" s="1" t="s">
        <v>3</v>
      </c>
      <c r="E2515" s="1" t="s">
        <v>4</v>
      </c>
      <c r="F2515" s="2" t="s">
        <v>5</v>
      </c>
      <c r="G2515" s="3" t="s">
        <v>6</v>
      </c>
      <c r="H2515" s="3" t="s">
        <v>7</v>
      </c>
      <c r="I2515" s="6" t="s">
        <v>8</v>
      </c>
      <c r="J2515" s="2" t="s">
        <v>9</v>
      </c>
      <c r="K2515" s="3" t="s">
        <v>10</v>
      </c>
      <c r="L2515" s="2" t="s">
        <v>9</v>
      </c>
    </row>
    <row r="2516" spans="1:12" x14ac:dyDescent="0.25">
      <c r="A2516" s="4">
        <v>45890</v>
      </c>
      <c r="B2516" t="s">
        <v>11</v>
      </c>
      <c r="C2516" t="s">
        <v>1072</v>
      </c>
      <c r="G2516" t="s">
        <v>1074</v>
      </c>
      <c r="I2516" s="7" t="s">
        <v>17</v>
      </c>
      <c r="J2516" s="5">
        <v>30000</v>
      </c>
    </row>
    <row r="2517" spans="1:12" x14ac:dyDescent="0.25">
      <c r="C2517" t="s">
        <v>1073</v>
      </c>
      <c r="I2517" s="7" t="s">
        <v>48</v>
      </c>
      <c r="J2517" s="5">
        <v>40000</v>
      </c>
    </row>
    <row r="2518" spans="1:12" x14ac:dyDescent="0.25">
      <c r="I2518" s="7" t="s">
        <v>1075</v>
      </c>
      <c r="J2518" s="5">
        <v>15000</v>
      </c>
    </row>
    <row r="2519" spans="1:12" x14ac:dyDescent="0.25">
      <c r="I2519" s="7" t="s">
        <v>112</v>
      </c>
      <c r="J2519" s="5">
        <v>6000</v>
      </c>
    </row>
    <row r="2521" spans="1:12" x14ac:dyDescent="0.25">
      <c r="I2521" s="7" t="s">
        <v>20</v>
      </c>
      <c r="J2521" s="5">
        <f>SUM(J2516:J2520)</f>
        <v>91000</v>
      </c>
    </row>
    <row r="2523" spans="1:12" x14ac:dyDescent="0.25">
      <c r="A2523" s="1" t="s">
        <v>0</v>
      </c>
      <c r="B2523" s="1" t="s">
        <v>1</v>
      </c>
      <c r="C2523" s="1" t="s">
        <v>2</v>
      </c>
      <c r="D2523" s="1" t="s">
        <v>3</v>
      </c>
      <c r="E2523" s="1" t="s">
        <v>4</v>
      </c>
      <c r="F2523" s="2" t="s">
        <v>5</v>
      </c>
      <c r="G2523" s="3" t="s">
        <v>6</v>
      </c>
      <c r="H2523" s="3" t="s">
        <v>7</v>
      </c>
      <c r="I2523" s="6" t="s">
        <v>8</v>
      </c>
      <c r="J2523" s="2" t="s">
        <v>9</v>
      </c>
      <c r="K2523" s="3" t="s">
        <v>10</v>
      </c>
      <c r="L2523" s="2" t="s">
        <v>9</v>
      </c>
    </row>
    <row r="2524" spans="1:12" x14ac:dyDescent="0.25">
      <c r="A2524" s="4">
        <v>45890</v>
      </c>
      <c r="B2524" t="s">
        <v>110</v>
      </c>
      <c r="C2524" t="s">
        <v>1076</v>
      </c>
      <c r="D2524" t="s">
        <v>29</v>
      </c>
      <c r="F2524" s="5">
        <v>19869</v>
      </c>
      <c r="G2524" t="s">
        <v>1077</v>
      </c>
      <c r="I2524" s="7" t="s">
        <v>1078</v>
      </c>
      <c r="J2524" s="5">
        <v>250000</v>
      </c>
    </row>
    <row r="2525" spans="1:12" x14ac:dyDescent="0.25">
      <c r="I2525" s="7" t="s">
        <v>26</v>
      </c>
      <c r="J2525" s="5">
        <v>35000</v>
      </c>
    </row>
    <row r="2526" spans="1:12" x14ac:dyDescent="0.25">
      <c r="I2526" s="7" t="s">
        <v>77</v>
      </c>
      <c r="J2526" s="5">
        <v>22000</v>
      </c>
    </row>
    <row r="2528" spans="1:12" x14ac:dyDescent="0.25">
      <c r="I2528" s="7" t="s">
        <v>20</v>
      </c>
      <c r="J2528" s="5">
        <f>SUM(J2524:J2527)</f>
        <v>307000</v>
      </c>
    </row>
    <row r="2530" spans="1:12" x14ac:dyDescent="0.25">
      <c r="A2530" s="1" t="s">
        <v>0</v>
      </c>
      <c r="B2530" s="1" t="s">
        <v>1</v>
      </c>
      <c r="C2530" s="1" t="s">
        <v>2</v>
      </c>
      <c r="D2530" s="1" t="s">
        <v>3</v>
      </c>
      <c r="E2530" s="1" t="s">
        <v>4</v>
      </c>
      <c r="F2530" s="2" t="s">
        <v>5</v>
      </c>
      <c r="G2530" s="3" t="s">
        <v>6</v>
      </c>
      <c r="H2530" s="3" t="s">
        <v>7</v>
      </c>
      <c r="I2530" s="6" t="s">
        <v>8</v>
      </c>
      <c r="J2530" s="2" t="s">
        <v>9</v>
      </c>
      <c r="K2530" s="3" t="s">
        <v>10</v>
      </c>
      <c r="L2530" s="2" t="s">
        <v>9</v>
      </c>
    </row>
    <row r="2531" spans="1:12" x14ac:dyDescent="0.25">
      <c r="A2531" s="4">
        <v>45892</v>
      </c>
      <c r="B2531" t="s">
        <v>110</v>
      </c>
      <c r="C2531" t="s">
        <v>1079</v>
      </c>
      <c r="D2531" t="s">
        <v>23</v>
      </c>
      <c r="F2531" s="5">
        <v>36795</v>
      </c>
      <c r="I2531" s="7" t="s">
        <v>17</v>
      </c>
    </row>
    <row r="2532" spans="1:12" x14ac:dyDescent="0.25">
      <c r="I2532" s="7" t="s">
        <v>101</v>
      </c>
    </row>
    <row r="2533" spans="1:12" x14ac:dyDescent="0.25">
      <c r="I2533" s="7" t="s">
        <v>100</v>
      </c>
    </row>
    <row r="2535" spans="1:12" x14ac:dyDescent="0.25">
      <c r="I2535" s="7" t="s">
        <v>20</v>
      </c>
      <c r="J2535" s="5">
        <v>90000</v>
      </c>
    </row>
    <row r="2537" spans="1:12" x14ac:dyDescent="0.25">
      <c r="A2537" s="1" t="s">
        <v>0</v>
      </c>
      <c r="B2537" s="1" t="s">
        <v>1</v>
      </c>
      <c r="C2537" s="1" t="s">
        <v>2</v>
      </c>
      <c r="D2537" s="1" t="s">
        <v>3</v>
      </c>
      <c r="E2537" s="1" t="s">
        <v>4</v>
      </c>
      <c r="F2537" s="2" t="s">
        <v>5</v>
      </c>
      <c r="G2537" s="3" t="s">
        <v>6</v>
      </c>
      <c r="H2537" s="3" t="s">
        <v>7</v>
      </c>
      <c r="I2537" s="6" t="s">
        <v>8</v>
      </c>
      <c r="J2537" s="2" t="s">
        <v>9</v>
      </c>
      <c r="K2537" s="3" t="s">
        <v>10</v>
      </c>
      <c r="L2537" s="2" t="s">
        <v>9</v>
      </c>
    </row>
    <row r="2538" spans="1:12" x14ac:dyDescent="0.25">
      <c r="A2538" s="4">
        <v>45892</v>
      </c>
      <c r="B2538" t="s">
        <v>1061</v>
      </c>
      <c r="C2538" t="s">
        <v>1080</v>
      </c>
      <c r="D2538" t="s">
        <v>84</v>
      </c>
      <c r="F2538" s="5">
        <v>69738</v>
      </c>
      <c r="G2538" t="s">
        <v>1062</v>
      </c>
      <c r="I2538" s="7" t="s">
        <v>93</v>
      </c>
      <c r="J2538" s="5">
        <v>150000</v>
      </c>
    </row>
    <row r="2539" spans="1:12" x14ac:dyDescent="0.25">
      <c r="I2539" s="7" t="s">
        <v>125</v>
      </c>
      <c r="J2539" s="5">
        <v>60000</v>
      </c>
    </row>
    <row r="2540" spans="1:12" x14ac:dyDescent="0.25">
      <c r="I2540" s="7" t="s">
        <v>226</v>
      </c>
      <c r="J2540" s="5">
        <v>270000</v>
      </c>
    </row>
    <row r="2541" spans="1:12" x14ac:dyDescent="0.25">
      <c r="I2541" s="7" t="s">
        <v>1081</v>
      </c>
      <c r="J2541" s="5">
        <v>25000</v>
      </c>
    </row>
    <row r="2542" spans="1:12" x14ac:dyDescent="0.25">
      <c r="I2542" s="7" t="s">
        <v>230</v>
      </c>
      <c r="J2542" s="5">
        <v>15000</v>
      </c>
    </row>
    <row r="2543" spans="1:12" x14ac:dyDescent="0.25">
      <c r="I2543" s="7" t="s">
        <v>70</v>
      </c>
      <c r="J2543" s="5">
        <v>42000</v>
      </c>
    </row>
    <row r="2545" spans="1:12" x14ac:dyDescent="0.25">
      <c r="I2545" s="7" t="s">
        <v>20</v>
      </c>
      <c r="J2545" s="5">
        <f>SUM(J2538:J2544)</f>
        <v>562000</v>
      </c>
    </row>
    <row r="2547" spans="1:12" x14ac:dyDescent="0.25">
      <c r="A2547" s="1" t="s">
        <v>0</v>
      </c>
      <c r="B2547" s="1" t="s">
        <v>1</v>
      </c>
      <c r="C2547" s="1" t="s">
        <v>2</v>
      </c>
      <c r="D2547" s="1" t="s">
        <v>3</v>
      </c>
      <c r="E2547" s="1" t="s">
        <v>4</v>
      </c>
      <c r="F2547" s="2" t="s">
        <v>5</v>
      </c>
      <c r="G2547" s="3" t="s">
        <v>6</v>
      </c>
      <c r="H2547" s="3" t="s">
        <v>7</v>
      </c>
      <c r="I2547" s="6" t="s">
        <v>8</v>
      </c>
      <c r="J2547" s="2" t="s">
        <v>9</v>
      </c>
      <c r="K2547" s="3" t="s">
        <v>10</v>
      </c>
      <c r="L2547" s="2" t="s">
        <v>9</v>
      </c>
    </row>
    <row r="2548" spans="1:12" x14ac:dyDescent="0.25">
      <c r="A2548" s="4">
        <v>45892</v>
      </c>
      <c r="B2548" t="s">
        <v>1157</v>
      </c>
      <c r="D2548" t="s">
        <v>53</v>
      </c>
      <c r="G2548" t="s">
        <v>1158</v>
      </c>
      <c r="I2548" s="7" t="s">
        <v>1159</v>
      </c>
    </row>
    <row r="2549" spans="1:12" x14ac:dyDescent="0.25">
      <c r="I2549" s="7" t="s">
        <v>1160</v>
      </c>
    </row>
    <row r="2550" spans="1:12" x14ac:dyDescent="0.25">
      <c r="I2550" s="7" t="s">
        <v>1161</v>
      </c>
    </row>
    <row r="2551" spans="1:12" x14ac:dyDescent="0.25">
      <c r="I2551" s="7" t="s">
        <v>1162</v>
      </c>
    </row>
    <row r="2553" spans="1:12" x14ac:dyDescent="0.25">
      <c r="I2553" s="7" t="s">
        <v>20</v>
      </c>
    </row>
    <row r="2555" spans="1:12" x14ac:dyDescent="0.25">
      <c r="A2555" s="1" t="s">
        <v>0</v>
      </c>
      <c r="B2555" s="1" t="s">
        <v>1</v>
      </c>
      <c r="C2555" s="1" t="s">
        <v>2</v>
      </c>
      <c r="D2555" s="1" t="s">
        <v>3</v>
      </c>
      <c r="E2555" s="1" t="s">
        <v>4</v>
      </c>
      <c r="F2555" s="2" t="s">
        <v>5</v>
      </c>
      <c r="G2555" s="3" t="s">
        <v>6</v>
      </c>
      <c r="H2555" s="3" t="s">
        <v>7</v>
      </c>
      <c r="I2555" s="6" t="s">
        <v>8</v>
      </c>
      <c r="J2555" s="2" t="s">
        <v>9</v>
      </c>
      <c r="K2555" s="3" t="s">
        <v>10</v>
      </c>
      <c r="L2555" s="2" t="s">
        <v>9</v>
      </c>
    </row>
    <row r="2556" spans="1:12" x14ac:dyDescent="0.25">
      <c r="A2556" s="4">
        <v>45892</v>
      </c>
      <c r="B2556" t="s">
        <v>21</v>
      </c>
      <c r="C2556" t="s">
        <v>1082</v>
      </c>
      <c r="D2556" t="s">
        <v>153</v>
      </c>
      <c r="G2556" t="s">
        <v>1153</v>
      </c>
      <c r="H2556">
        <v>3242548090</v>
      </c>
      <c r="I2556" s="7" t="s">
        <v>743</v>
      </c>
    </row>
    <row r="2558" spans="1:12" x14ac:dyDescent="0.25">
      <c r="I2558" s="7" t="s">
        <v>20</v>
      </c>
    </row>
    <row r="2560" spans="1:12" x14ac:dyDescent="0.25">
      <c r="A2560" s="1" t="s">
        <v>0</v>
      </c>
      <c r="B2560" s="1" t="s">
        <v>1</v>
      </c>
      <c r="C2560" s="1" t="s">
        <v>2</v>
      </c>
      <c r="D2560" s="1" t="s">
        <v>3</v>
      </c>
      <c r="E2560" s="1" t="s">
        <v>4</v>
      </c>
      <c r="F2560" s="2" t="s">
        <v>5</v>
      </c>
      <c r="G2560" s="3" t="s">
        <v>6</v>
      </c>
      <c r="H2560" s="3" t="s">
        <v>7</v>
      </c>
      <c r="I2560" s="6" t="s">
        <v>8</v>
      </c>
      <c r="J2560" s="2" t="s">
        <v>9</v>
      </c>
      <c r="K2560" s="3" t="s">
        <v>10</v>
      </c>
      <c r="L2560" s="2" t="s">
        <v>9</v>
      </c>
    </row>
    <row r="2561" spans="1:12" x14ac:dyDescent="0.25">
      <c r="A2561" s="4">
        <v>45894</v>
      </c>
      <c r="B2561" t="s">
        <v>40</v>
      </c>
      <c r="C2561" t="s">
        <v>1083</v>
      </c>
      <c r="F2561" s="5">
        <v>45313</v>
      </c>
      <c r="G2561" t="s">
        <v>1084</v>
      </c>
      <c r="I2561" s="7" t="s">
        <v>126</v>
      </c>
      <c r="J2561" s="5">
        <v>431400</v>
      </c>
    </row>
    <row r="2562" spans="1:12" x14ac:dyDescent="0.25">
      <c r="I2562" s="7" t="s">
        <v>920</v>
      </c>
      <c r="J2562" s="5">
        <v>350000</v>
      </c>
    </row>
    <row r="2563" spans="1:12" x14ac:dyDescent="0.25">
      <c r="I2563" s="7" t="s">
        <v>17</v>
      </c>
      <c r="J2563" s="5">
        <v>144000</v>
      </c>
    </row>
    <row r="2564" spans="1:12" x14ac:dyDescent="0.25">
      <c r="I2564" s="7" t="s">
        <v>26</v>
      </c>
      <c r="J2564" s="5">
        <v>80000</v>
      </c>
    </row>
    <row r="2566" spans="1:12" x14ac:dyDescent="0.25">
      <c r="I2566" s="7" t="s">
        <v>20</v>
      </c>
      <c r="J2566" s="5">
        <f>SUM(J2561:J2565)</f>
        <v>1005400</v>
      </c>
    </row>
    <row r="2568" spans="1:12" x14ac:dyDescent="0.25">
      <c r="A2568" s="1" t="s">
        <v>0</v>
      </c>
      <c r="B2568" s="1" t="s">
        <v>1</v>
      </c>
      <c r="C2568" s="1" t="s">
        <v>2</v>
      </c>
      <c r="D2568" s="1" t="s">
        <v>3</v>
      </c>
      <c r="E2568" s="1" t="s">
        <v>4</v>
      </c>
      <c r="F2568" s="2" t="s">
        <v>5</v>
      </c>
      <c r="G2568" s="3" t="s">
        <v>6</v>
      </c>
      <c r="H2568" s="3" t="s">
        <v>7</v>
      </c>
      <c r="I2568" s="6" t="s">
        <v>8</v>
      </c>
      <c r="J2568" s="2" t="s">
        <v>9</v>
      </c>
      <c r="K2568" s="3" t="s">
        <v>10</v>
      </c>
      <c r="L2568" s="2" t="s">
        <v>9</v>
      </c>
    </row>
    <row r="2569" spans="1:12" x14ac:dyDescent="0.25">
      <c r="A2569" s="4">
        <v>45894</v>
      </c>
      <c r="B2569" t="s">
        <v>888</v>
      </c>
      <c r="C2569" t="s">
        <v>1217</v>
      </c>
      <c r="D2569" t="s">
        <v>29</v>
      </c>
      <c r="E2569">
        <v>2021</v>
      </c>
      <c r="G2569" t="s">
        <v>1128</v>
      </c>
      <c r="H2569">
        <v>3002973703</v>
      </c>
      <c r="I2569" s="7" t="s">
        <v>93</v>
      </c>
      <c r="J2569" s="5">
        <v>250000</v>
      </c>
    </row>
    <row r="2570" spans="1:12" x14ac:dyDescent="0.25">
      <c r="I2570" s="7" t="s">
        <v>125</v>
      </c>
      <c r="J2570" s="5">
        <v>80000</v>
      </c>
    </row>
    <row r="2571" spans="1:12" x14ac:dyDescent="0.25">
      <c r="I2571" s="7" t="s">
        <v>646</v>
      </c>
      <c r="J2571" s="5">
        <v>56400</v>
      </c>
    </row>
    <row r="2572" spans="1:12" x14ac:dyDescent="0.25">
      <c r="I2572" s="7" t="s">
        <v>230</v>
      </c>
      <c r="J2572" s="5">
        <v>18000</v>
      </c>
    </row>
    <row r="2574" spans="1:12" x14ac:dyDescent="0.25">
      <c r="I2574" s="7" t="s">
        <v>20</v>
      </c>
      <c r="J2574" s="5">
        <f>SUM(J2569:J2573)</f>
        <v>404400</v>
      </c>
    </row>
    <row r="2576" spans="1:12" x14ac:dyDescent="0.25">
      <c r="A2576" s="1" t="s">
        <v>0</v>
      </c>
      <c r="B2576" s="1" t="s">
        <v>1</v>
      </c>
      <c r="C2576" s="1" t="s">
        <v>2</v>
      </c>
      <c r="D2576" s="1" t="s">
        <v>3</v>
      </c>
      <c r="E2576" s="1" t="s">
        <v>4</v>
      </c>
      <c r="F2576" s="2" t="s">
        <v>5</v>
      </c>
      <c r="G2576" s="3" t="s">
        <v>6</v>
      </c>
      <c r="H2576" s="3" t="s">
        <v>7</v>
      </c>
      <c r="I2576" s="6" t="s">
        <v>8</v>
      </c>
      <c r="J2576" s="2" t="s">
        <v>9</v>
      </c>
      <c r="K2576" s="3" t="s">
        <v>10</v>
      </c>
      <c r="L2576" s="2" t="s">
        <v>9</v>
      </c>
    </row>
    <row r="2577" spans="1:12" x14ac:dyDescent="0.25">
      <c r="A2577" s="4">
        <v>45894</v>
      </c>
      <c r="B2577" t="s">
        <v>1085</v>
      </c>
      <c r="C2577" t="s">
        <v>1086</v>
      </c>
      <c r="D2577" t="s">
        <v>53</v>
      </c>
      <c r="G2577" t="s">
        <v>1152</v>
      </c>
      <c r="H2577">
        <v>3057702344</v>
      </c>
      <c r="I2577" s="7" t="s">
        <v>17</v>
      </c>
    </row>
    <row r="2578" spans="1:12" x14ac:dyDescent="0.25">
      <c r="I2578" s="7" t="s">
        <v>958</v>
      </c>
    </row>
    <row r="2580" spans="1:12" x14ac:dyDescent="0.25">
      <c r="I2580" s="7" t="s">
        <v>20</v>
      </c>
      <c r="J2580" s="5">
        <v>400000</v>
      </c>
    </row>
    <row r="2582" spans="1:12" x14ac:dyDescent="0.25">
      <c r="A2582" s="1" t="s">
        <v>0</v>
      </c>
      <c r="B2582" s="1" t="s">
        <v>1</v>
      </c>
      <c r="C2582" s="1" t="s">
        <v>2</v>
      </c>
      <c r="D2582" s="1" t="s">
        <v>3</v>
      </c>
      <c r="E2582" s="1" t="s">
        <v>4</v>
      </c>
      <c r="F2582" s="2" t="s">
        <v>5</v>
      </c>
      <c r="G2582" s="3" t="s">
        <v>6</v>
      </c>
      <c r="H2582" s="3" t="s">
        <v>7</v>
      </c>
      <c r="I2582" s="6" t="s">
        <v>8</v>
      </c>
      <c r="J2582" s="2" t="s">
        <v>9</v>
      </c>
      <c r="K2582" s="3" t="s">
        <v>10</v>
      </c>
      <c r="L2582" s="2" t="s">
        <v>9</v>
      </c>
    </row>
    <row r="2583" spans="1:12" x14ac:dyDescent="0.25">
      <c r="A2583" s="4">
        <v>45894</v>
      </c>
      <c r="B2583" t="s">
        <v>21</v>
      </c>
      <c r="C2583" t="s">
        <v>1087</v>
      </c>
      <c r="D2583" t="s">
        <v>23</v>
      </c>
      <c r="F2583" s="5">
        <v>68519</v>
      </c>
      <c r="G2583" t="s">
        <v>1088</v>
      </c>
      <c r="I2583" s="7" t="s">
        <v>920</v>
      </c>
      <c r="J2583" s="5">
        <v>390000</v>
      </c>
    </row>
    <row r="2584" spans="1:12" x14ac:dyDescent="0.25">
      <c r="I2584" s="7" t="s">
        <v>150</v>
      </c>
      <c r="J2584" s="5">
        <v>150000</v>
      </c>
    </row>
    <row r="2585" spans="1:12" x14ac:dyDescent="0.25">
      <c r="I2585" s="7" t="s">
        <v>746</v>
      </c>
      <c r="J2585" s="5">
        <v>150000</v>
      </c>
    </row>
    <row r="2586" spans="1:12" x14ac:dyDescent="0.25">
      <c r="I2586" s="7" t="s">
        <v>1089</v>
      </c>
    </row>
    <row r="2587" spans="1:12" x14ac:dyDescent="0.25">
      <c r="I2587" s="7" t="s">
        <v>18</v>
      </c>
      <c r="J2587" s="5">
        <v>46000</v>
      </c>
    </row>
    <row r="2588" spans="1:12" x14ac:dyDescent="0.25">
      <c r="I2588" s="7" t="s">
        <v>49</v>
      </c>
      <c r="J2588" s="5">
        <v>120000</v>
      </c>
    </row>
    <row r="2589" spans="1:12" x14ac:dyDescent="0.25">
      <c r="I2589" s="7" t="s">
        <v>1090</v>
      </c>
      <c r="J2589" s="5">
        <v>200000</v>
      </c>
    </row>
    <row r="2591" spans="1:12" x14ac:dyDescent="0.25">
      <c r="I2591" s="7" t="s">
        <v>20</v>
      </c>
      <c r="J2591" s="5">
        <f>SUM(J2583:J2590)</f>
        <v>1056000</v>
      </c>
    </row>
    <row r="2593" spans="1:12" x14ac:dyDescent="0.25">
      <c r="A2593" s="1" t="s">
        <v>0</v>
      </c>
      <c r="B2593" s="1" t="s">
        <v>1</v>
      </c>
      <c r="C2593" s="1" t="s">
        <v>2</v>
      </c>
      <c r="D2593" s="1" t="s">
        <v>3</v>
      </c>
      <c r="E2593" s="1" t="s">
        <v>4</v>
      </c>
      <c r="F2593" s="2" t="s">
        <v>5</v>
      </c>
      <c r="G2593" s="3" t="s">
        <v>6</v>
      </c>
      <c r="H2593" s="3" t="s">
        <v>7</v>
      </c>
      <c r="I2593" s="6" t="s">
        <v>8</v>
      </c>
      <c r="J2593" s="2" t="s">
        <v>9</v>
      </c>
      <c r="K2593" s="3" t="s">
        <v>10</v>
      </c>
      <c r="L2593" s="2" t="s">
        <v>9</v>
      </c>
    </row>
    <row r="2594" spans="1:12" x14ac:dyDescent="0.25">
      <c r="A2594" s="4">
        <v>45895</v>
      </c>
      <c r="B2594" t="s">
        <v>577</v>
      </c>
      <c r="D2594" t="s">
        <v>29</v>
      </c>
      <c r="E2594">
        <v>2023</v>
      </c>
      <c r="G2594" t="s">
        <v>1150</v>
      </c>
      <c r="H2594">
        <v>3172332556</v>
      </c>
      <c r="I2594" s="7" t="s">
        <v>88</v>
      </c>
    </row>
    <row r="2595" spans="1:12" x14ac:dyDescent="0.25">
      <c r="I2595" s="7" t="s">
        <v>920</v>
      </c>
    </row>
    <row r="2597" spans="1:12" x14ac:dyDescent="0.25">
      <c r="I2597" s="7" t="s">
        <v>20</v>
      </c>
    </row>
    <row r="2599" spans="1:12" x14ac:dyDescent="0.25">
      <c r="A2599" s="1" t="s">
        <v>0</v>
      </c>
      <c r="B2599" s="1" t="s">
        <v>1</v>
      </c>
      <c r="C2599" s="1" t="s">
        <v>2</v>
      </c>
      <c r="D2599" s="1" t="s">
        <v>3</v>
      </c>
      <c r="E2599" s="1" t="s">
        <v>4</v>
      </c>
      <c r="F2599" s="2" t="s">
        <v>5</v>
      </c>
      <c r="G2599" s="3" t="s">
        <v>6</v>
      </c>
      <c r="H2599" s="3" t="s">
        <v>7</v>
      </c>
      <c r="I2599" s="6" t="s">
        <v>8</v>
      </c>
      <c r="J2599" s="2" t="s">
        <v>9</v>
      </c>
      <c r="K2599" s="3" t="s">
        <v>10</v>
      </c>
      <c r="L2599" s="2" t="s">
        <v>9</v>
      </c>
    </row>
    <row r="2600" spans="1:12" x14ac:dyDescent="0.25">
      <c r="A2600" s="4">
        <v>45895</v>
      </c>
      <c r="B2600" t="s">
        <v>1091</v>
      </c>
      <c r="C2600" t="s">
        <v>1092</v>
      </c>
      <c r="D2600" t="s">
        <v>29</v>
      </c>
      <c r="F2600" s="5">
        <v>19554</v>
      </c>
      <c r="G2600" t="s">
        <v>1149</v>
      </c>
      <c r="I2600" s="7" t="s">
        <v>1093</v>
      </c>
      <c r="J2600" s="5">
        <v>30000</v>
      </c>
    </row>
    <row r="2601" spans="1:12" x14ac:dyDescent="0.25">
      <c r="I2601" s="7" t="s">
        <v>1094</v>
      </c>
      <c r="J2601" s="5">
        <v>40000</v>
      </c>
    </row>
    <row r="2602" spans="1:12" x14ac:dyDescent="0.25">
      <c r="I2602" s="7" t="s">
        <v>77</v>
      </c>
      <c r="J2602" s="5">
        <v>22000</v>
      </c>
    </row>
    <row r="2603" spans="1:12" x14ac:dyDescent="0.25">
      <c r="I2603" s="7" t="s">
        <v>755</v>
      </c>
      <c r="J2603" s="5">
        <v>10000</v>
      </c>
    </row>
    <row r="2604" spans="1:12" x14ac:dyDescent="0.25">
      <c r="I2604" s="7" t="s">
        <v>70</v>
      </c>
      <c r="J2604" s="5">
        <v>150000</v>
      </c>
    </row>
    <row r="2606" spans="1:12" x14ac:dyDescent="0.25">
      <c r="I2606" s="7" t="s">
        <v>20</v>
      </c>
      <c r="J2606" s="5">
        <f>SUM(J2600:J2605)</f>
        <v>252000</v>
      </c>
    </row>
    <row r="2608" spans="1:12" x14ac:dyDescent="0.25">
      <c r="A2608" s="1" t="s">
        <v>0</v>
      </c>
      <c r="B2608" s="1" t="s">
        <v>1</v>
      </c>
      <c r="C2608" s="1" t="s">
        <v>2</v>
      </c>
      <c r="D2608" s="1" t="s">
        <v>3</v>
      </c>
      <c r="E2608" s="1" t="s">
        <v>4</v>
      </c>
      <c r="F2608" s="2" t="s">
        <v>5</v>
      </c>
      <c r="G2608" s="3" t="s">
        <v>6</v>
      </c>
      <c r="H2608" s="3" t="s">
        <v>7</v>
      </c>
      <c r="I2608" s="6" t="s">
        <v>8</v>
      </c>
      <c r="J2608" s="2" t="s">
        <v>9</v>
      </c>
      <c r="K2608" s="3" t="s">
        <v>10</v>
      </c>
      <c r="L2608" s="2" t="s">
        <v>9</v>
      </c>
    </row>
    <row r="2609" spans="1:12" x14ac:dyDescent="0.25">
      <c r="A2609" s="4">
        <v>45895</v>
      </c>
      <c r="B2609" t="s">
        <v>978</v>
      </c>
      <c r="C2609" t="s">
        <v>1095</v>
      </c>
      <c r="D2609" t="s">
        <v>53</v>
      </c>
      <c r="E2609">
        <v>2022</v>
      </c>
      <c r="F2609" s="5">
        <v>12576</v>
      </c>
      <c r="G2609" t="s">
        <v>1151</v>
      </c>
      <c r="H2609">
        <v>3108676095</v>
      </c>
      <c r="I2609" s="7" t="s">
        <v>17</v>
      </c>
      <c r="J2609" s="5">
        <v>260000</v>
      </c>
    </row>
    <row r="2610" spans="1:12" x14ac:dyDescent="0.25">
      <c r="I2610" s="7" t="s">
        <v>18</v>
      </c>
      <c r="J2610" s="5">
        <v>65000</v>
      </c>
    </row>
    <row r="2611" spans="1:12" x14ac:dyDescent="0.25">
      <c r="I2611" s="7" t="s">
        <v>159</v>
      </c>
      <c r="J2611" s="5">
        <v>180000</v>
      </c>
    </row>
    <row r="2613" spans="1:12" x14ac:dyDescent="0.25">
      <c r="I2613" s="7" t="s">
        <v>20</v>
      </c>
      <c r="J2613" s="5">
        <f>SUM(J2609:J2612)</f>
        <v>505000</v>
      </c>
    </row>
    <row r="2615" spans="1:12" x14ac:dyDescent="0.25">
      <c r="A2615" s="1" t="s">
        <v>0</v>
      </c>
      <c r="B2615" s="1" t="s">
        <v>1</v>
      </c>
      <c r="C2615" s="1" t="s">
        <v>2</v>
      </c>
      <c r="D2615" s="1" t="s">
        <v>3</v>
      </c>
      <c r="E2615" s="1" t="s">
        <v>4</v>
      </c>
      <c r="F2615" s="2" t="s">
        <v>5</v>
      </c>
      <c r="G2615" s="3" t="s">
        <v>6</v>
      </c>
      <c r="H2615" s="3" t="s">
        <v>7</v>
      </c>
      <c r="I2615" s="6" t="s">
        <v>8</v>
      </c>
      <c r="J2615" s="2" t="s">
        <v>9</v>
      </c>
      <c r="K2615" s="3" t="s">
        <v>10</v>
      </c>
      <c r="L2615" s="2" t="s">
        <v>9</v>
      </c>
    </row>
    <row r="2616" spans="1:12" x14ac:dyDescent="0.25">
      <c r="A2616" s="4">
        <v>45895</v>
      </c>
      <c r="B2616" t="s">
        <v>888</v>
      </c>
      <c r="C2616" t="s">
        <v>1096</v>
      </c>
      <c r="D2616" t="s">
        <v>29</v>
      </c>
      <c r="F2616" s="5">
        <v>26733</v>
      </c>
      <c r="I2616" s="7" t="s">
        <v>17</v>
      </c>
      <c r="J2616" s="5">
        <v>40000</v>
      </c>
    </row>
    <row r="2617" spans="1:12" x14ac:dyDescent="0.25">
      <c r="I2617" s="7" t="s">
        <v>18</v>
      </c>
      <c r="J2617" s="5">
        <v>18000</v>
      </c>
    </row>
    <row r="2618" spans="1:12" x14ac:dyDescent="0.25">
      <c r="I2618" s="7" t="s">
        <v>25</v>
      </c>
      <c r="J2618" s="5">
        <v>35000</v>
      </c>
    </row>
    <row r="2619" spans="1:12" x14ac:dyDescent="0.25">
      <c r="I2619" s="7" t="s">
        <v>100</v>
      </c>
      <c r="J2619" s="5">
        <v>30000</v>
      </c>
    </row>
    <row r="2621" spans="1:12" x14ac:dyDescent="0.25">
      <c r="I2621" s="7" t="s">
        <v>20</v>
      </c>
      <c r="J2621" s="5">
        <f>SUM(J2616:J2620)</f>
        <v>123000</v>
      </c>
    </row>
    <row r="2623" spans="1:12" x14ac:dyDescent="0.25">
      <c r="A2623" s="1" t="s">
        <v>0</v>
      </c>
      <c r="B2623" s="1" t="s">
        <v>1</v>
      </c>
      <c r="C2623" s="1" t="s">
        <v>2</v>
      </c>
      <c r="D2623" s="1" t="s">
        <v>3</v>
      </c>
      <c r="E2623" s="1" t="s">
        <v>4</v>
      </c>
      <c r="F2623" s="2" t="s">
        <v>5</v>
      </c>
      <c r="G2623" s="3" t="s">
        <v>6</v>
      </c>
      <c r="H2623" s="3" t="s">
        <v>7</v>
      </c>
      <c r="I2623" s="6" t="s">
        <v>8</v>
      </c>
      <c r="J2623" s="2" t="s">
        <v>9</v>
      </c>
      <c r="K2623" s="3" t="s">
        <v>10</v>
      </c>
      <c r="L2623" s="2" t="s">
        <v>9</v>
      </c>
    </row>
    <row r="2624" spans="1:12" x14ac:dyDescent="0.25">
      <c r="A2624" s="4">
        <v>45896</v>
      </c>
      <c r="B2624" t="s">
        <v>903</v>
      </c>
      <c r="C2624" t="s">
        <v>177</v>
      </c>
      <c r="D2624" t="s">
        <v>29</v>
      </c>
      <c r="F2624" s="5">
        <v>54813</v>
      </c>
      <c r="G2624" t="s">
        <v>178</v>
      </c>
      <c r="I2624" s="7" t="s">
        <v>1097</v>
      </c>
      <c r="J2624" s="5">
        <v>350000</v>
      </c>
    </row>
    <row r="2625" spans="1:12" x14ac:dyDescent="0.25">
      <c r="I2625" s="7" t="s">
        <v>100</v>
      </c>
      <c r="J2625" s="5">
        <v>80000</v>
      </c>
    </row>
    <row r="2627" spans="1:12" x14ac:dyDescent="0.25">
      <c r="I2627" s="7" t="s">
        <v>20</v>
      </c>
      <c r="J2627" s="5">
        <f>SUM(J2624:J2626)</f>
        <v>430000</v>
      </c>
    </row>
    <row r="2629" spans="1:12" x14ac:dyDescent="0.25">
      <c r="A2629" s="1" t="s">
        <v>0</v>
      </c>
      <c r="B2629" s="1" t="s">
        <v>1</v>
      </c>
      <c r="C2629" s="1" t="s">
        <v>2</v>
      </c>
      <c r="D2629" s="1" t="s">
        <v>3</v>
      </c>
      <c r="E2629" s="1" t="s">
        <v>4</v>
      </c>
      <c r="F2629" s="2" t="s">
        <v>5</v>
      </c>
      <c r="G2629" s="3" t="s">
        <v>6</v>
      </c>
      <c r="H2629" s="3" t="s">
        <v>7</v>
      </c>
      <c r="I2629" s="6" t="s">
        <v>8</v>
      </c>
      <c r="J2629" s="2" t="s">
        <v>9</v>
      </c>
      <c r="K2629" s="3" t="s">
        <v>10</v>
      </c>
      <c r="L2629" s="2" t="s">
        <v>9</v>
      </c>
    </row>
    <row r="2630" spans="1:12" x14ac:dyDescent="0.25">
      <c r="A2630" s="4">
        <v>45897</v>
      </c>
      <c r="B2630" t="s">
        <v>1098</v>
      </c>
      <c r="C2630" t="s">
        <v>1099</v>
      </c>
      <c r="D2630" t="s">
        <v>13</v>
      </c>
      <c r="E2630">
        <v>2018</v>
      </c>
      <c r="F2630" s="5">
        <v>46173</v>
      </c>
      <c r="G2630" t="s">
        <v>1146</v>
      </c>
      <c r="H2630">
        <v>3192074556</v>
      </c>
      <c r="I2630" s="7" t="s">
        <v>527</v>
      </c>
      <c r="J2630" s="5">
        <v>40000</v>
      </c>
    </row>
    <row r="2631" spans="1:12" x14ac:dyDescent="0.25">
      <c r="I2631" s="7" t="s">
        <v>920</v>
      </c>
      <c r="J2631" s="5">
        <v>180000</v>
      </c>
    </row>
    <row r="2632" spans="1:12" x14ac:dyDescent="0.25">
      <c r="I2632" s="7" t="s">
        <v>25</v>
      </c>
      <c r="J2632" s="5">
        <v>35000</v>
      </c>
    </row>
    <row r="2634" spans="1:12" x14ac:dyDescent="0.25">
      <c r="I2634" s="7" t="s">
        <v>20</v>
      </c>
      <c r="J2634" s="5">
        <f>SUM(J2630:J2633)</f>
        <v>255000</v>
      </c>
    </row>
    <row r="2636" spans="1:12" x14ac:dyDescent="0.25">
      <c r="A2636" s="1" t="s">
        <v>0</v>
      </c>
      <c r="B2636" s="1" t="s">
        <v>1</v>
      </c>
      <c r="C2636" s="1" t="s">
        <v>2</v>
      </c>
      <c r="D2636" s="1" t="s">
        <v>3</v>
      </c>
      <c r="E2636" s="1" t="s">
        <v>4</v>
      </c>
      <c r="F2636" s="2" t="s">
        <v>5</v>
      </c>
      <c r="G2636" s="3" t="s">
        <v>6</v>
      </c>
      <c r="H2636" s="3" t="s">
        <v>7</v>
      </c>
      <c r="I2636" s="6" t="s">
        <v>8</v>
      </c>
      <c r="J2636" s="2" t="s">
        <v>9</v>
      </c>
      <c r="K2636" s="3" t="s">
        <v>10</v>
      </c>
      <c r="L2636" s="2" t="s">
        <v>9</v>
      </c>
    </row>
    <row r="2637" spans="1:12" x14ac:dyDescent="0.25">
      <c r="A2637" s="4">
        <v>45897</v>
      </c>
      <c r="B2637" t="s">
        <v>151</v>
      </c>
      <c r="C2637" t="s">
        <v>1100</v>
      </c>
      <c r="D2637" t="s">
        <v>153</v>
      </c>
      <c r="G2637" t="s">
        <v>960</v>
      </c>
      <c r="I2637" s="7" t="s">
        <v>1101</v>
      </c>
    </row>
    <row r="2638" spans="1:12" x14ac:dyDescent="0.25">
      <c r="I2638" s="7" t="s">
        <v>1102</v>
      </c>
    </row>
    <row r="2640" spans="1:12" x14ac:dyDescent="0.25">
      <c r="I2640" s="7" t="s">
        <v>20</v>
      </c>
      <c r="J2640" s="5">
        <v>450000</v>
      </c>
    </row>
    <row r="2642" spans="1:12" x14ac:dyDescent="0.25">
      <c r="A2642" s="1" t="s">
        <v>0</v>
      </c>
      <c r="B2642" s="1" t="s">
        <v>1</v>
      </c>
      <c r="C2642" s="1" t="s">
        <v>2</v>
      </c>
      <c r="D2642" s="1" t="s">
        <v>3</v>
      </c>
      <c r="E2642" s="1" t="s">
        <v>4</v>
      </c>
      <c r="F2642" s="2" t="s">
        <v>5</v>
      </c>
      <c r="G2642" s="3" t="s">
        <v>6</v>
      </c>
      <c r="H2642" s="3" t="s">
        <v>7</v>
      </c>
      <c r="I2642" s="6" t="s">
        <v>8</v>
      </c>
      <c r="J2642" s="2" t="s">
        <v>9</v>
      </c>
      <c r="K2642" s="3" t="s">
        <v>10</v>
      </c>
      <c r="L2642" s="2" t="s">
        <v>9</v>
      </c>
    </row>
    <row r="2643" spans="1:12" x14ac:dyDescent="0.25">
      <c r="A2643" s="4">
        <v>45897</v>
      </c>
      <c r="B2643" t="s">
        <v>21</v>
      </c>
      <c r="C2643" t="s">
        <v>778</v>
      </c>
      <c r="D2643" t="s">
        <v>153</v>
      </c>
      <c r="G2643" t="s">
        <v>1103</v>
      </c>
      <c r="H2643">
        <v>3124443333</v>
      </c>
      <c r="I2643" s="7" t="s">
        <v>172</v>
      </c>
      <c r="J2643" s="5">
        <v>228000</v>
      </c>
    </row>
    <row r="2644" spans="1:12" x14ac:dyDescent="0.25">
      <c r="I2644" s="7" t="s">
        <v>105</v>
      </c>
      <c r="J2644" s="5">
        <v>60000</v>
      </c>
    </row>
    <row r="2645" spans="1:12" x14ac:dyDescent="0.25">
      <c r="I2645" s="7" t="s">
        <v>1104</v>
      </c>
      <c r="J2645" s="5">
        <v>60000</v>
      </c>
    </row>
    <row r="2646" spans="1:12" x14ac:dyDescent="0.25">
      <c r="I2646" s="7" t="s">
        <v>1105</v>
      </c>
      <c r="J2646" s="5">
        <v>22000</v>
      </c>
    </row>
    <row r="2647" spans="1:12" x14ac:dyDescent="0.25">
      <c r="I2647" s="7" t="s">
        <v>1106</v>
      </c>
      <c r="J2647" s="5">
        <v>60000</v>
      </c>
    </row>
    <row r="2649" spans="1:12" x14ac:dyDescent="0.25">
      <c r="I2649" s="7" t="s">
        <v>20</v>
      </c>
      <c r="J2649" s="5">
        <f>SUM(J2643:J2648)</f>
        <v>430000</v>
      </c>
    </row>
    <row r="2651" spans="1:12" x14ac:dyDescent="0.25">
      <c r="A2651" s="1" t="s">
        <v>0</v>
      </c>
      <c r="B2651" s="1" t="s">
        <v>1</v>
      </c>
      <c r="C2651" s="1" t="s">
        <v>2</v>
      </c>
      <c r="D2651" s="1" t="s">
        <v>3</v>
      </c>
      <c r="E2651" s="1" t="s">
        <v>4</v>
      </c>
      <c r="F2651" s="2" t="s">
        <v>5</v>
      </c>
      <c r="G2651" s="3" t="s">
        <v>6</v>
      </c>
      <c r="H2651" s="3" t="s">
        <v>7</v>
      </c>
      <c r="I2651" s="6" t="s">
        <v>8</v>
      </c>
      <c r="J2651" s="2" t="s">
        <v>9</v>
      </c>
      <c r="K2651" s="3" t="s">
        <v>10</v>
      </c>
      <c r="L2651" s="2" t="s">
        <v>9</v>
      </c>
    </row>
    <row r="2652" spans="1:12" x14ac:dyDescent="0.25">
      <c r="A2652" s="4">
        <v>45897</v>
      </c>
      <c r="B2652" t="s">
        <v>1107</v>
      </c>
      <c r="C2652" t="s">
        <v>1108</v>
      </c>
      <c r="D2652" t="s">
        <v>53</v>
      </c>
      <c r="G2652" t="s">
        <v>1148</v>
      </c>
      <c r="H2652">
        <v>3125861116</v>
      </c>
      <c r="I2652" s="7" t="s">
        <v>1109</v>
      </c>
      <c r="J2652" s="5">
        <v>50000</v>
      </c>
    </row>
    <row r="2653" spans="1:12" x14ac:dyDescent="0.25">
      <c r="I2653" s="7" t="s">
        <v>77</v>
      </c>
      <c r="J2653" s="5">
        <v>22000</v>
      </c>
    </row>
    <row r="2654" spans="1:12" x14ac:dyDescent="0.25">
      <c r="I2654" s="7" t="s">
        <v>1110</v>
      </c>
      <c r="J2654" s="5">
        <v>80000</v>
      </c>
    </row>
    <row r="2655" spans="1:12" x14ac:dyDescent="0.25">
      <c r="I2655" s="7" t="s">
        <v>1111</v>
      </c>
      <c r="J2655" s="5">
        <v>160000</v>
      </c>
    </row>
    <row r="2656" spans="1:12" x14ac:dyDescent="0.25">
      <c r="I2656" s="7" t="s">
        <v>1112</v>
      </c>
      <c r="J2656" s="5">
        <v>60000</v>
      </c>
    </row>
    <row r="2658" spans="1:12" x14ac:dyDescent="0.25">
      <c r="I2658" s="7" t="s">
        <v>20</v>
      </c>
      <c r="J2658" s="5">
        <f>SUM(J2652:J2657)</f>
        <v>372000</v>
      </c>
    </row>
    <row r="2660" spans="1:12" x14ac:dyDescent="0.25">
      <c r="A2660" s="1" t="s">
        <v>0</v>
      </c>
      <c r="B2660" s="1" t="s">
        <v>1</v>
      </c>
      <c r="C2660" s="1" t="s">
        <v>2</v>
      </c>
      <c r="D2660" s="1" t="s">
        <v>3</v>
      </c>
      <c r="E2660" s="1" t="s">
        <v>4</v>
      </c>
      <c r="F2660" s="2" t="s">
        <v>5</v>
      </c>
      <c r="G2660" s="3" t="s">
        <v>6</v>
      </c>
      <c r="H2660" s="3" t="s">
        <v>7</v>
      </c>
      <c r="I2660" s="6" t="s">
        <v>8</v>
      </c>
      <c r="J2660" s="2" t="s">
        <v>9</v>
      </c>
      <c r="K2660" s="3" t="s">
        <v>10</v>
      </c>
      <c r="L2660" s="2" t="s">
        <v>9</v>
      </c>
    </row>
    <row r="2661" spans="1:12" x14ac:dyDescent="0.25">
      <c r="A2661" s="4">
        <v>45897</v>
      </c>
      <c r="B2661" t="s">
        <v>903</v>
      </c>
      <c r="G2661" t="s">
        <v>331</v>
      </c>
      <c r="I2661" s="7" t="s">
        <v>1114</v>
      </c>
      <c r="J2661" s="5">
        <v>1200000</v>
      </c>
    </row>
    <row r="2662" spans="1:12" x14ac:dyDescent="0.25">
      <c r="G2662" t="s">
        <v>1113</v>
      </c>
      <c r="I2662" s="7" t="s">
        <v>1097</v>
      </c>
      <c r="J2662" s="5">
        <v>350000</v>
      </c>
    </row>
    <row r="2663" spans="1:12" x14ac:dyDescent="0.25">
      <c r="I2663" s="7" t="s">
        <v>1115</v>
      </c>
      <c r="J2663" s="5">
        <v>35000</v>
      </c>
    </row>
    <row r="2664" spans="1:12" x14ac:dyDescent="0.25">
      <c r="I2664" s="7" t="s">
        <v>18</v>
      </c>
      <c r="J2664" s="5">
        <v>46000</v>
      </c>
    </row>
    <row r="2665" spans="1:12" x14ac:dyDescent="0.25">
      <c r="I2665" s="7" t="s">
        <v>70</v>
      </c>
      <c r="J2665" s="5">
        <v>192000</v>
      </c>
    </row>
    <row r="2666" spans="1:12" x14ac:dyDescent="0.25">
      <c r="I2666" s="7" t="s">
        <v>125</v>
      </c>
      <c r="J2666" s="5">
        <v>250000</v>
      </c>
    </row>
    <row r="2667" spans="1:12" x14ac:dyDescent="0.25">
      <c r="I2667" s="7" t="s">
        <v>1116</v>
      </c>
      <c r="J2667" s="5">
        <v>70000</v>
      </c>
    </row>
    <row r="2669" spans="1:12" x14ac:dyDescent="0.25">
      <c r="I2669" s="7" t="s">
        <v>20</v>
      </c>
      <c r="J2669" s="5">
        <f>SUM(J2661:J2668)</f>
        <v>2143000</v>
      </c>
    </row>
    <row r="2671" spans="1:12" x14ac:dyDescent="0.25">
      <c r="A2671" s="1" t="s">
        <v>0</v>
      </c>
      <c r="B2671" s="1" t="s">
        <v>1</v>
      </c>
      <c r="C2671" s="1" t="s">
        <v>2</v>
      </c>
      <c r="D2671" s="1" t="s">
        <v>3</v>
      </c>
      <c r="E2671" s="1" t="s">
        <v>4</v>
      </c>
      <c r="F2671" s="2" t="s">
        <v>5</v>
      </c>
      <c r="G2671" s="3" t="s">
        <v>6</v>
      </c>
      <c r="H2671" s="3" t="s">
        <v>7</v>
      </c>
      <c r="I2671" s="6" t="s">
        <v>8</v>
      </c>
      <c r="J2671" s="2" t="s">
        <v>9</v>
      </c>
      <c r="K2671" s="3" t="s">
        <v>10</v>
      </c>
      <c r="L2671" s="2" t="s">
        <v>9</v>
      </c>
    </row>
    <row r="2672" spans="1:12" x14ac:dyDescent="0.25">
      <c r="A2672" s="4">
        <v>45897</v>
      </c>
      <c r="B2672" t="s">
        <v>21</v>
      </c>
      <c r="C2672" t="s">
        <v>1117</v>
      </c>
      <c r="D2672" t="s">
        <v>153</v>
      </c>
      <c r="F2672" s="5">
        <v>108763</v>
      </c>
      <c r="G2672" t="s">
        <v>1118</v>
      </c>
      <c r="I2672" s="7" t="s">
        <v>150</v>
      </c>
      <c r="J2672" s="5">
        <v>150000</v>
      </c>
    </row>
    <row r="2673" spans="1:12" x14ac:dyDescent="0.25">
      <c r="I2673" s="7" t="s">
        <v>509</v>
      </c>
      <c r="J2673" s="5">
        <v>630000</v>
      </c>
    </row>
    <row r="2674" spans="1:12" x14ac:dyDescent="0.25">
      <c r="I2674" s="7" t="s">
        <v>924</v>
      </c>
      <c r="J2674" s="5">
        <v>160000</v>
      </c>
    </row>
    <row r="2675" spans="1:12" x14ac:dyDescent="0.25">
      <c r="I2675" s="7" t="s">
        <v>299</v>
      </c>
      <c r="J2675" s="5">
        <v>60000</v>
      </c>
    </row>
    <row r="2676" spans="1:12" x14ac:dyDescent="0.25">
      <c r="I2676" s="7" t="s">
        <v>169</v>
      </c>
      <c r="J2676" s="5">
        <v>60000</v>
      </c>
    </row>
    <row r="2678" spans="1:12" x14ac:dyDescent="0.25">
      <c r="I2678" s="7" t="s">
        <v>20</v>
      </c>
      <c r="J2678" s="5">
        <f>SUM(J2672:J2677)</f>
        <v>1060000</v>
      </c>
    </row>
    <row r="2680" spans="1:12" x14ac:dyDescent="0.25">
      <c r="A2680" s="1" t="s">
        <v>0</v>
      </c>
      <c r="B2680" s="1" t="s">
        <v>1</v>
      </c>
      <c r="C2680" s="1" t="s">
        <v>2</v>
      </c>
      <c r="D2680" s="1" t="s">
        <v>3</v>
      </c>
      <c r="E2680" s="1" t="s">
        <v>4</v>
      </c>
      <c r="F2680" s="2" t="s">
        <v>5</v>
      </c>
      <c r="G2680" s="3" t="s">
        <v>6</v>
      </c>
      <c r="H2680" s="3" t="s">
        <v>7</v>
      </c>
      <c r="I2680" s="6" t="s">
        <v>8</v>
      </c>
      <c r="J2680" s="2" t="s">
        <v>9</v>
      </c>
      <c r="K2680" s="3" t="s">
        <v>10</v>
      </c>
      <c r="L2680" s="2" t="s">
        <v>9</v>
      </c>
    </row>
    <row r="2681" spans="1:12" x14ac:dyDescent="0.25">
      <c r="A2681" s="4">
        <v>45897</v>
      </c>
      <c r="B2681" t="s">
        <v>21</v>
      </c>
      <c r="C2681" t="s">
        <v>1119</v>
      </c>
      <c r="D2681" t="s">
        <v>153</v>
      </c>
      <c r="F2681" s="5">
        <v>71094</v>
      </c>
      <c r="G2681" t="s">
        <v>1120</v>
      </c>
      <c r="I2681" s="7" t="s">
        <v>88</v>
      </c>
      <c r="J2681" s="5">
        <v>310000</v>
      </c>
    </row>
    <row r="2682" spans="1:12" x14ac:dyDescent="0.25">
      <c r="I2682" s="7" t="s">
        <v>100</v>
      </c>
      <c r="J2682" s="5">
        <v>150000</v>
      </c>
    </row>
    <row r="2683" spans="1:12" x14ac:dyDescent="0.25">
      <c r="I2683" s="7" t="s">
        <v>700</v>
      </c>
      <c r="J2683" s="5">
        <v>70000</v>
      </c>
    </row>
    <row r="2685" spans="1:12" x14ac:dyDescent="0.25">
      <c r="I2685" s="7" t="s">
        <v>20</v>
      </c>
      <c r="J2685" s="5">
        <f>SUM(J2681:J2684)</f>
        <v>530000</v>
      </c>
    </row>
    <row r="2687" spans="1:12" x14ac:dyDescent="0.25">
      <c r="A2687" s="1" t="s">
        <v>0</v>
      </c>
      <c r="B2687" s="1" t="s">
        <v>1</v>
      </c>
      <c r="C2687" s="1" t="s">
        <v>2</v>
      </c>
      <c r="D2687" s="1" t="s">
        <v>3</v>
      </c>
      <c r="E2687" s="1" t="s">
        <v>4</v>
      </c>
      <c r="F2687" s="2" t="s">
        <v>5</v>
      </c>
      <c r="G2687" s="3" t="s">
        <v>6</v>
      </c>
      <c r="H2687" s="3" t="s">
        <v>7</v>
      </c>
      <c r="I2687" s="6" t="s">
        <v>8</v>
      </c>
      <c r="J2687" s="2" t="s">
        <v>9</v>
      </c>
      <c r="K2687" s="3" t="s">
        <v>10</v>
      </c>
      <c r="L2687" s="2" t="s">
        <v>9</v>
      </c>
    </row>
    <row r="2688" spans="1:12" x14ac:dyDescent="0.25">
      <c r="A2688" s="4">
        <v>45897</v>
      </c>
      <c r="B2688" t="s">
        <v>21</v>
      </c>
      <c r="C2688" t="s">
        <v>1121</v>
      </c>
      <c r="D2688" t="s">
        <v>29</v>
      </c>
      <c r="F2688" s="5">
        <v>61669</v>
      </c>
      <c r="G2688" t="s">
        <v>1122</v>
      </c>
      <c r="I2688" s="7" t="s">
        <v>25</v>
      </c>
      <c r="J2688" s="5">
        <v>160000</v>
      </c>
    </row>
    <row r="2689" spans="1:12" x14ac:dyDescent="0.25">
      <c r="I2689" s="7" t="s">
        <v>17</v>
      </c>
      <c r="J2689" s="5">
        <v>200000</v>
      </c>
    </row>
    <row r="2690" spans="1:12" x14ac:dyDescent="0.25">
      <c r="I2690" s="7" t="s">
        <v>18</v>
      </c>
      <c r="J2690" s="5">
        <v>46000</v>
      </c>
    </row>
    <row r="2691" spans="1:12" x14ac:dyDescent="0.25">
      <c r="I2691" s="7" t="s">
        <v>967</v>
      </c>
      <c r="J2691" s="5">
        <v>40000</v>
      </c>
    </row>
    <row r="2693" spans="1:12" x14ac:dyDescent="0.25">
      <c r="I2693" s="7" t="s">
        <v>20</v>
      </c>
      <c r="J2693" s="5">
        <f>SUM(J2688:J2692)</f>
        <v>446000</v>
      </c>
    </row>
    <row r="2695" spans="1:12" x14ac:dyDescent="0.25">
      <c r="A2695" s="1" t="s">
        <v>0</v>
      </c>
      <c r="B2695" s="1" t="s">
        <v>1</v>
      </c>
      <c r="C2695" s="1" t="s">
        <v>2</v>
      </c>
      <c r="D2695" s="1" t="s">
        <v>3</v>
      </c>
      <c r="E2695" s="1" t="s">
        <v>4</v>
      </c>
      <c r="F2695" s="2" t="s">
        <v>5</v>
      </c>
      <c r="G2695" s="3" t="s">
        <v>6</v>
      </c>
      <c r="H2695" s="3" t="s">
        <v>7</v>
      </c>
      <c r="I2695" s="6" t="s">
        <v>8</v>
      </c>
      <c r="J2695" s="2" t="s">
        <v>9</v>
      </c>
      <c r="K2695" s="3" t="s">
        <v>10</v>
      </c>
      <c r="L2695" s="2" t="s">
        <v>9</v>
      </c>
    </row>
    <row r="2696" spans="1:12" x14ac:dyDescent="0.25">
      <c r="A2696" s="4">
        <v>45898</v>
      </c>
      <c r="B2696" t="s">
        <v>82</v>
      </c>
      <c r="C2696" t="s">
        <v>1123</v>
      </c>
      <c r="D2696" t="s">
        <v>84</v>
      </c>
      <c r="F2696" s="5">
        <v>28161</v>
      </c>
      <c r="I2696" s="7" t="s">
        <v>226</v>
      </c>
      <c r="J2696" s="5">
        <v>790000</v>
      </c>
    </row>
    <row r="2697" spans="1:12" x14ac:dyDescent="0.25">
      <c r="I2697" s="7" t="s">
        <v>229</v>
      </c>
      <c r="J2697" s="5">
        <v>142000</v>
      </c>
    </row>
    <row r="2698" spans="1:12" x14ac:dyDescent="0.25">
      <c r="I2698" s="7" t="s">
        <v>1124</v>
      </c>
      <c r="J2698" s="5">
        <v>95000</v>
      </c>
    </row>
    <row r="2699" spans="1:12" x14ac:dyDescent="0.25">
      <c r="I2699" s="7" t="s">
        <v>93</v>
      </c>
      <c r="J2699" s="5">
        <v>450000</v>
      </c>
    </row>
    <row r="2700" spans="1:12" x14ac:dyDescent="0.25">
      <c r="I2700" s="7" t="s">
        <v>1125</v>
      </c>
      <c r="J2700" s="5">
        <v>180000</v>
      </c>
    </row>
    <row r="2701" spans="1:12" x14ac:dyDescent="0.25">
      <c r="I2701" s="7" t="s">
        <v>125</v>
      </c>
      <c r="J2701" s="5">
        <v>140000</v>
      </c>
    </row>
    <row r="2702" spans="1:12" x14ac:dyDescent="0.25">
      <c r="I2702" s="7" t="s">
        <v>87</v>
      </c>
      <c r="J2702" s="5">
        <v>62400</v>
      </c>
    </row>
    <row r="2703" spans="1:12" x14ac:dyDescent="0.25">
      <c r="I2703" s="7" t="s">
        <v>1126</v>
      </c>
      <c r="J2703" s="5">
        <v>40000</v>
      </c>
    </row>
    <row r="2705" spans="1:12" x14ac:dyDescent="0.25">
      <c r="I2705" s="7" t="s">
        <v>20</v>
      </c>
      <c r="J2705" s="5">
        <f>SUM(J2696:J2704)</f>
        <v>1899400</v>
      </c>
    </row>
    <row r="2707" spans="1:12" x14ac:dyDescent="0.25">
      <c r="A2707" s="1" t="s">
        <v>0</v>
      </c>
      <c r="B2707" s="1" t="s">
        <v>1</v>
      </c>
      <c r="C2707" s="1" t="s">
        <v>2</v>
      </c>
      <c r="D2707" s="1" t="s">
        <v>3</v>
      </c>
      <c r="E2707" s="1" t="s">
        <v>4</v>
      </c>
      <c r="F2707" s="2" t="s">
        <v>5</v>
      </c>
      <c r="G2707" s="3" t="s">
        <v>6</v>
      </c>
      <c r="H2707" s="3" t="s">
        <v>7</v>
      </c>
      <c r="I2707" s="6" t="s">
        <v>8</v>
      </c>
      <c r="J2707" s="2" t="s">
        <v>9</v>
      </c>
      <c r="K2707" s="3" t="s">
        <v>10</v>
      </c>
      <c r="L2707" s="2" t="s">
        <v>9</v>
      </c>
    </row>
    <row r="2708" spans="1:12" x14ac:dyDescent="0.25">
      <c r="A2708" s="4">
        <v>45898</v>
      </c>
      <c r="B2708" t="s">
        <v>380</v>
      </c>
      <c r="C2708" t="s">
        <v>600</v>
      </c>
      <c r="D2708" t="s">
        <v>29</v>
      </c>
      <c r="E2708">
        <v>2016</v>
      </c>
      <c r="F2708" s="5">
        <v>58484</v>
      </c>
      <c r="G2708" t="s">
        <v>1147</v>
      </c>
      <c r="H2708">
        <v>3508220738</v>
      </c>
      <c r="I2708" s="7" t="s">
        <v>100</v>
      </c>
      <c r="J2708" s="5">
        <v>250000</v>
      </c>
    </row>
    <row r="2709" spans="1:12" x14ac:dyDescent="0.25">
      <c r="B2709" t="s">
        <v>599</v>
      </c>
      <c r="I2709" s="7" t="s">
        <v>1127</v>
      </c>
    </row>
    <row r="2710" spans="1:12" x14ac:dyDescent="0.25">
      <c r="I2710" s="7" t="s">
        <v>606</v>
      </c>
      <c r="J2710" s="5">
        <v>400000</v>
      </c>
    </row>
    <row r="2711" spans="1:12" x14ac:dyDescent="0.25">
      <c r="I2711" s="7" t="s">
        <v>309</v>
      </c>
      <c r="J2711" s="5">
        <v>100000</v>
      </c>
    </row>
    <row r="2712" spans="1:12" x14ac:dyDescent="0.25">
      <c r="I2712" s="7" t="s">
        <v>825</v>
      </c>
      <c r="J2712" s="5">
        <v>25000</v>
      </c>
    </row>
    <row r="2713" spans="1:12" x14ac:dyDescent="0.25">
      <c r="I2713" s="7" t="s">
        <v>26</v>
      </c>
      <c r="J2713" s="5">
        <v>35000</v>
      </c>
    </row>
    <row r="2715" spans="1:12" x14ac:dyDescent="0.25">
      <c r="I2715" s="7" t="s">
        <v>20</v>
      </c>
      <c r="J2715" s="5">
        <f>SUM(J2708:J2714)</f>
        <v>810000</v>
      </c>
    </row>
    <row r="2717" spans="1:12" x14ac:dyDescent="0.25">
      <c r="A2717" s="1" t="s">
        <v>0</v>
      </c>
      <c r="B2717" s="1" t="s">
        <v>1</v>
      </c>
      <c r="C2717" s="1" t="s">
        <v>2</v>
      </c>
      <c r="D2717" s="1" t="s">
        <v>3</v>
      </c>
      <c r="E2717" s="1" t="s">
        <v>4</v>
      </c>
      <c r="F2717" s="2" t="s">
        <v>5</v>
      </c>
      <c r="G2717" s="3" t="s">
        <v>6</v>
      </c>
      <c r="H2717" s="3" t="s">
        <v>7</v>
      </c>
      <c r="I2717" s="6" t="s">
        <v>8</v>
      </c>
      <c r="J2717" s="2" t="s">
        <v>9</v>
      </c>
      <c r="K2717" s="3" t="s">
        <v>10</v>
      </c>
      <c r="L2717" s="2" t="s">
        <v>9</v>
      </c>
    </row>
    <row r="2718" spans="1:12" x14ac:dyDescent="0.25">
      <c r="A2718" s="4">
        <v>45898</v>
      </c>
      <c r="B2718" t="s">
        <v>888</v>
      </c>
      <c r="D2718" t="s">
        <v>29</v>
      </c>
      <c r="G2718" t="s">
        <v>1128</v>
      </c>
      <c r="I2718" s="7" t="s">
        <v>100</v>
      </c>
      <c r="J2718" s="5">
        <v>250000</v>
      </c>
    </row>
    <row r="2719" spans="1:12" x14ac:dyDescent="0.25">
      <c r="I2719" s="7" t="s">
        <v>646</v>
      </c>
      <c r="J2719" s="5">
        <v>56400</v>
      </c>
    </row>
    <row r="2720" spans="1:12" x14ac:dyDescent="0.25">
      <c r="I2720" s="7" t="s">
        <v>70</v>
      </c>
      <c r="J2720" s="5">
        <v>52000</v>
      </c>
    </row>
    <row r="2721" spans="1:12" x14ac:dyDescent="0.25">
      <c r="I2721" s="7" t="s">
        <v>125</v>
      </c>
      <c r="J2721" s="5">
        <v>140000</v>
      </c>
    </row>
    <row r="2722" spans="1:12" x14ac:dyDescent="0.25">
      <c r="I2722" s="7" t="s">
        <v>230</v>
      </c>
      <c r="J2722" s="5">
        <v>21600</v>
      </c>
    </row>
    <row r="2723" spans="1:12" x14ac:dyDescent="0.25">
      <c r="I2723" s="7" t="s">
        <v>1081</v>
      </c>
      <c r="J2723" s="5">
        <v>49000</v>
      </c>
    </row>
    <row r="2725" spans="1:12" x14ac:dyDescent="0.25">
      <c r="I2725" s="7" t="s">
        <v>20</v>
      </c>
      <c r="J2725" s="5">
        <f>SUM(J2718:J2724)</f>
        <v>569000</v>
      </c>
    </row>
    <row r="2727" spans="1:12" x14ac:dyDescent="0.25">
      <c r="A2727" s="1" t="s">
        <v>0</v>
      </c>
      <c r="B2727" s="1" t="s">
        <v>1</v>
      </c>
      <c r="C2727" s="1" t="s">
        <v>2</v>
      </c>
      <c r="D2727" s="1" t="s">
        <v>3</v>
      </c>
      <c r="E2727" s="1" t="s">
        <v>4</v>
      </c>
      <c r="F2727" s="2" t="s">
        <v>5</v>
      </c>
      <c r="G2727" s="3" t="s">
        <v>6</v>
      </c>
      <c r="H2727" s="3" t="s">
        <v>7</v>
      </c>
      <c r="I2727" s="6" t="s">
        <v>8</v>
      </c>
      <c r="J2727" s="2" t="s">
        <v>9</v>
      </c>
      <c r="K2727" s="3" t="s">
        <v>10</v>
      </c>
      <c r="L2727" s="2" t="s">
        <v>9</v>
      </c>
    </row>
    <row r="2728" spans="1:12" x14ac:dyDescent="0.25">
      <c r="A2728" s="4">
        <v>45898</v>
      </c>
      <c r="B2728" t="s">
        <v>393</v>
      </c>
      <c r="C2728" t="s">
        <v>801</v>
      </c>
      <c r="D2728" t="s">
        <v>29</v>
      </c>
      <c r="F2728" s="5">
        <v>133362</v>
      </c>
      <c r="I2728" s="7" t="s">
        <v>1129</v>
      </c>
    </row>
    <row r="2730" spans="1:12" x14ac:dyDescent="0.25">
      <c r="I2730" s="7" t="s">
        <v>20</v>
      </c>
    </row>
    <row r="2732" spans="1:12" x14ac:dyDescent="0.25">
      <c r="A2732" s="1" t="s">
        <v>0</v>
      </c>
      <c r="B2732" s="1" t="s">
        <v>1</v>
      </c>
      <c r="C2732" s="1" t="s">
        <v>2</v>
      </c>
      <c r="D2732" s="1" t="s">
        <v>3</v>
      </c>
      <c r="E2732" s="1" t="s">
        <v>4</v>
      </c>
      <c r="F2732" s="2" t="s">
        <v>5</v>
      </c>
      <c r="G2732" s="3" t="s">
        <v>6</v>
      </c>
      <c r="H2732" s="3" t="s">
        <v>7</v>
      </c>
      <c r="I2732" s="6" t="s">
        <v>8</v>
      </c>
      <c r="J2732" s="2" t="s">
        <v>9</v>
      </c>
      <c r="K2732" s="3" t="s">
        <v>10</v>
      </c>
      <c r="L2732" s="2" t="s">
        <v>9</v>
      </c>
    </row>
    <row r="2733" spans="1:12" x14ac:dyDescent="0.25">
      <c r="A2733" s="4">
        <v>45898</v>
      </c>
      <c r="B2733" t="s">
        <v>21</v>
      </c>
      <c r="C2733" t="s">
        <v>1130</v>
      </c>
      <c r="D2733" t="s">
        <v>23</v>
      </c>
      <c r="F2733" s="5">
        <v>92350</v>
      </c>
      <c r="G2733" t="s">
        <v>1131</v>
      </c>
      <c r="I2733" s="7" t="s">
        <v>131</v>
      </c>
      <c r="J2733" s="5">
        <v>80000</v>
      </c>
    </row>
    <row r="2734" spans="1:12" x14ac:dyDescent="0.25">
      <c r="I2734" s="7" t="s">
        <v>423</v>
      </c>
      <c r="J2734" s="5">
        <v>100000</v>
      </c>
    </row>
    <row r="2735" spans="1:12" x14ac:dyDescent="0.25">
      <c r="I2735" s="7" t="s">
        <v>105</v>
      </c>
      <c r="J2735" s="5">
        <v>60000</v>
      </c>
    </row>
    <row r="2736" spans="1:12" x14ac:dyDescent="0.25">
      <c r="I2736" s="7" t="s">
        <v>1132</v>
      </c>
      <c r="J2736" s="5">
        <v>12000</v>
      </c>
    </row>
    <row r="2738" spans="1:12" x14ac:dyDescent="0.25">
      <c r="I2738" s="7" t="s">
        <v>20</v>
      </c>
      <c r="J2738" s="5">
        <f>SUM(J2733:J2737)</f>
        <v>252000</v>
      </c>
    </row>
    <row r="2740" spans="1:12" x14ac:dyDescent="0.25">
      <c r="A2740" s="1" t="s">
        <v>0</v>
      </c>
      <c r="B2740" s="1" t="s">
        <v>1</v>
      </c>
      <c r="C2740" s="1" t="s">
        <v>2</v>
      </c>
      <c r="D2740" s="1" t="s">
        <v>3</v>
      </c>
      <c r="E2740" s="1" t="s">
        <v>4</v>
      </c>
      <c r="F2740" s="2" t="s">
        <v>5</v>
      </c>
      <c r="G2740" s="3" t="s">
        <v>6</v>
      </c>
      <c r="H2740" s="3" t="s">
        <v>7</v>
      </c>
      <c r="I2740" s="6" t="s">
        <v>8</v>
      </c>
      <c r="J2740" s="2" t="s">
        <v>9</v>
      </c>
      <c r="K2740" s="3" t="s">
        <v>10</v>
      </c>
      <c r="L2740" s="2" t="s">
        <v>9</v>
      </c>
    </row>
    <row r="2741" spans="1:12" x14ac:dyDescent="0.25">
      <c r="A2741" s="4">
        <v>45898</v>
      </c>
      <c r="B2741" t="s">
        <v>94</v>
      </c>
      <c r="C2741" t="s">
        <v>1141</v>
      </c>
      <c r="E2741">
        <v>2026</v>
      </c>
      <c r="F2741" s="5">
        <v>14337</v>
      </c>
      <c r="G2741" t="s">
        <v>1142</v>
      </c>
      <c r="H2741">
        <v>3052074838</v>
      </c>
      <c r="I2741" s="7" t="s">
        <v>17</v>
      </c>
      <c r="J2741" s="5">
        <v>48000</v>
      </c>
    </row>
    <row r="2742" spans="1:12" x14ac:dyDescent="0.25">
      <c r="I2742" s="7" t="s">
        <v>1143</v>
      </c>
      <c r="J2742" s="5">
        <v>18000</v>
      </c>
    </row>
    <row r="2743" spans="1:12" x14ac:dyDescent="0.25">
      <c r="I2743" s="7" t="s">
        <v>112</v>
      </c>
      <c r="J2743" s="5">
        <v>35000</v>
      </c>
    </row>
    <row r="2744" spans="1:12" x14ac:dyDescent="0.25">
      <c r="J2744" s="5">
        <v>70000</v>
      </c>
    </row>
    <row r="2746" spans="1:12" x14ac:dyDescent="0.25">
      <c r="I2746" s="7" t="s">
        <v>20</v>
      </c>
      <c r="J2746" s="5">
        <f>SUM(J2741:J2745)</f>
        <v>171000</v>
      </c>
    </row>
    <row r="2748" spans="1:12" x14ac:dyDescent="0.25">
      <c r="A2748" s="1" t="s">
        <v>0</v>
      </c>
      <c r="B2748" s="1" t="s">
        <v>1</v>
      </c>
      <c r="C2748" s="1" t="s">
        <v>2</v>
      </c>
      <c r="D2748" s="1" t="s">
        <v>3</v>
      </c>
      <c r="E2748" s="1" t="s">
        <v>4</v>
      </c>
      <c r="F2748" s="2" t="s">
        <v>5</v>
      </c>
      <c r="G2748" s="3" t="s">
        <v>6</v>
      </c>
      <c r="H2748" s="3" t="s">
        <v>7</v>
      </c>
      <c r="I2748" s="6" t="s">
        <v>8</v>
      </c>
      <c r="J2748" s="2" t="s">
        <v>9</v>
      </c>
      <c r="K2748" s="3" t="s">
        <v>10</v>
      </c>
      <c r="L2748" s="2" t="s">
        <v>9</v>
      </c>
    </row>
    <row r="2749" spans="1:12" x14ac:dyDescent="0.25">
      <c r="A2749" s="4">
        <v>45899</v>
      </c>
      <c r="B2749" t="s">
        <v>151</v>
      </c>
      <c r="C2749" t="s">
        <v>523</v>
      </c>
      <c r="D2749" t="s">
        <v>153</v>
      </c>
      <c r="F2749" s="5">
        <v>57150</v>
      </c>
      <c r="G2749" t="s">
        <v>524</v>
      </c>
      <c r="I2749" s="7" t="s">
        <v>924</v>
      </c>
      <c r="J2749" s="5">
        <v>140000</v>
      </c>
    </row>
    <row r="2750" spans="1:12" x14ac:dyDescent="0.25">
      <c r="I2750" s="7" t="s">
        <v>169</v>
      </c>
      <c r="J2750" s="5">
        <v>60000</v>
      </c>
    </row>
    <row r="2751" spans="1:12" x14ac:dyDescent="0.25">
      <c r="I2751" s="7" t="s">
        <v>26</v>
      </c>
      <c r="J2751" s="5">
        <v>60000</v>
      </c>
    </row>
    <row r="2753" spans="1:12" x14ac:dyDescent="0.25">
      <c r="I2753" s="7" t="s">
        <v>20</v>
      </c>
      <c r="J2753" s="5">
        <f>SUM(J2749:J2752)</f>
        <v>260000</v>
      </c>
    </row>
    <row r="2755" spans="1:12" x14ac:dyDescent="0.25">
      <c r="A2755" s="1" t="s">
        <v>0</v>
      </c>
      <c r="B2755" s="1" t="s">
        <v>1</v>
      </c>
      <c r="C2755" s="1" t="s">
        <v>2</v>
      </c>
      <c r="D2755" s="1" t="s">
        <v>3</v>
      </c>
      <c r="E2755" s="1" t="s">
        <v>4</v>
      </c>
      <c r="F2755" s="2" t="s">
        <v>5</v>
      </c>
      <c r="G2755" s="3" t="s">
        <v>6</v>
      </c>
      <c r="H2755" s="3" t="s">
        <v>7</v>
      </c>
      <c r="I2755" s="6" t="s">
        <v>8</v>
      </c>
      <c r="J2755" s="2" t="s">
        <v>9</v>
      </c>
      <c r="K2755" s="3" t="s">
        <v>10</v>
      </c>
      <c r="L2755" s="2" t="s">
        <v>9</v>
      </c>
    </row>
    <row r="2756" spans="1:12" x14ac:dyDescent="0.25">
      <c r="A2756" s="4">
        <v>45899</v>
      </c>
      <c r="B2756" t="s">
        <v>1133</v>
      </c>
      <c r="C2756" t="s">
        <v>1134</v>
      </c>
      <c r="D2756" t="s">
        <v>29</v>
      </c>
      <c r="E2756">
        <v>2022</v>
      </c>
      <c r="F2756" s="5">
        <v>21229</v>
      </c>
      <c r="G2756" t="s">
        <v>1145</v>
      </c>
      <c r="H2756">
        <v>3132918732</v>
      </c>
      <c r="I2756" s="7" t="s">
        <v>1135</v>
      </c>
    </row>
    <row r="2757" spans="1:12" x14ac:dyDescent="0.25">
      <c r="I2757" s="7" t="s">
        <v>100</v>
      </c>
    </row>
    <row r="2759" spans="1:12" x14ac:dyDescent="0.25">
      <c r="I2759" s="7" t="s">
        <v>20</v>
      </c>
    </row>
    <row r="2761" spans="1:12" x14ac:dyDescent="0.25">
      <c r="A2761" s="1" t="s">
        <v>0</v>
      </c>
      <c r="B2761" s="1" t="s">
        <v>1</v>
      </c>
      <c r="C2761" s="1" t="s">
        <v>2</v>
      </c>
      <c r="D2761" s="1" t="s">
        <v>3</v>
      </c>
      <c r="E2761" s="1" t="s">
        <v>4</v>
      </c>
      <c r="F2761" s="2" t="s">
        <v>5</v>
      </c>
      <c r="G2761" s="3" t="s">
        <v>6</v>
      </c>
      <c r="H2761" s="3" t="s">
        <v>7</v>
      </c>
      <c r="I2761" s="6" t="s">
        <v>8</v>
      </c>
      <c r="J2761" s="2" t="s">
        <v>9</v>
      </c>
      <c r="K2761" s="3" t="s">
        <v>10</v>
      </c>
      <c r="L2761" s="2" t="s">
        <v>9</v>
      </c>
    </row>
    <row r="2762" spans="1:12" x14ac:dyDescent="0.25">
      <c r="A2762" s="4">
        <v>45899</v>
      </c>
      <c r="B2762" t="s">
        <v>1136</v>
      </c>
      <c r="C2762" t="s">
        <v>1137</v>
      </c>
      <c r="D2762" t="s">
        <v>23</v>
      </c>
      <c r="F2762" s="5">
        <v>21365</v>
      </c>
      <c r="G2762" t="s">
        <v>1138</v>
      </c>
      <c r="I2762" s="7" t="s">
        <v>48</v>
      </c>
      <c r="J2762" s="5">
        <v>40000</v>
      </c>
    </row>
    <row r="2763" spans="1:12" x14ac:dyDescent="0.25">
      <c r="I2763" s="7" t="s">
        <v>25</v>
      </c>
      <c r="J2763" s="5">
        <v>30000</v>
      </c>
    </row>
    <row r="2764" spans="1:12" x14ac:dyDescent="0.25">
      <c r="I2764" s="7" t="s">
        <v>26</v>
      </c>
      <c r="J2764" s="5">
        <v>30000</v>
      </c>
    </row>
    <row r="2765" spans="1:12" x14ac:dyDescent="0.25">
      <c r="I2765" s="7" t="s">
        <v>17</v>
      </c>
      <c r="J2765" s="5">
        <v>50000</v>
      </c>
    </row>
    <row r="2766" spans="1:12" x14ac:dyDescent="0.25">
      <c r="I2766" s="7" t="s">
        <v>18</v>
      </c>
      <c r="J2766" s="5">
        <v>20000</v>
      </c>
    </row>
    <row r="2767" spans="1:12" x14ac:dyDescent="0.25">
      <c r="I2767" s="7" t="s">
        <v>100</v>
      </c>
      <c r="J2767" s="5">
        <v>50000</v>
      </c>
    </row>
    <row r="2768" spans="1:12" x14ac:dyDescent="0.25">
      <c r="I2768" s="7" t="s">
        <v>112</v>
      </c>
      <c r="J2768" s="5">
        <v>6000</v>
      </c>
    </row>
    <row r="2770" spans="1:12" x14ac:dyDescent="0.25">
      <c r="I2770" s="7" t="s">
        <v>20</v>
      </c>
      <c r="J2770" s="5">
        <f>SUM(J2762:J2769)</f>
        <v>226000</v>
      </c>
    </row>
    <row r="2772" spans="1:12" x14ac:dyDescent="0.25">
      <c r="A2772" s="1" t="s">
        <v>0</v>
      </c>
      <c r="B2772" s="1" t="s">
        <v>1</v>
      </c>
      <c r="C2772" s="1" t="s">
        <v>2</v>
      </c>
      <c r="D2772" s="1" t="s">
        <v>3</v>
      </c>
      <c r="E2772" s="1" t="s">
        <v>4</v>
      </c>
      <c r="F2772" s="2" t="s">
        <v>5</v>
      </c>
      <c r="G2772" s="3" t="s">
        <v>6</v>
      </c>
      <c r="H2772" s="3" t="s">
        <v>7</v>
      </c>
      <c r="I2772" s="6" t="s">
        <v>8</v>
      </c>
      <c r="J2772" s="2" t="s">
        <v>9</v>
      </c>
      <c r="K2772" s="3" t="s">
        <v>10</v>
      </c>
      <c r="L2772" s="2" t="s">
        <v>9</v>
      </c>
    </row>
    <row r="2773" spans="1:12" x14ac:dyDescent="0.25">
      <c r="A2773" s="4">
        <v>45899</v>
      </c>
      <c r="B2773" t="s">
        <v>257</v>
      </c>
      <c r="C2773" t="s">
        <v>258</v>
      </c>
      <c r="D2773" t="s">
        <v>395</v>
      </c>
      <c r="E2773">
        <v>2018</v>
      </c>
      <c r="F2773" s="5">
        <v>39677</v>
      </c>
      <c r="G2773" t="s">
        <v>1144</v>
      </c>
      <c r="H2773">
        <v>3114762429</v>
      </c>
      <c r="I2773" s="7" t="s">
        <v>17</v>
      </c>
      <c r="J2773" s="5">
        <v>150000</v>
      </c>
    </row>
    <row r="2774" spans="1:12" x14ac:dyDescent="0.25">
      <c r="I2774" s="7" t="s">
        <v>800</v>
      </c>
      <c r="J2774" s="5">
        <v>46000</v>
      </c>
    </row>
    <row r="2775" spans="1:12" x14ac:dyDescent="0.25">
      <c r="I2775" s="7" t="s">
        <v>48</v>
      </c>
      <c r="J2775" s="5">
        <v>150000</v>
      </c>
    </row>
    <row r="2776" spans="1:12" x14ac:dyDescent="0.25">
      <c r="I2776" s="7" t="s">
        <v>1139</v>
      </c>
      <c r="J2776" s="5">
        <v>190000</v>
      </c>
    </row>
    <row r="2777" spans="1:12" x14ac:dyDescent="0.25">
      <c r="I2777" s="7" t="s">
        <v>958</v>
      </c>
      <c r="J2777" s="5">
        <v>180000</v>
      </c>
    </row>
    <row r="2778" spans="1:12" x14ac:dyDescent="0.25">
      <c r="I2778" s="7" t="s">
        <v>100</v>
      </c>
      <c r="J2778" s="5">
        <v>40000</v>
      </c>
    </row>
    <row r="2779" spans="1:12" x14ac:dyDescent="0.25">
      <c r="I2779" s="7" t="s">
        <v>77</v>
      </c>
      <c r="J2779" s="5">
        <v>25000</v>
      </c>
    </row>
    <row r="2781" spans="1:12" x14ac:dyDescent="0.25">
      <c r="I2781" s="7" t="s">
        <v>1140</v>
      </c>
      <c r="J2781" s="5">
        <f>SUM(J2773:J2780)</f>
        <v>781000</v>
      </c>
    </row>
    <row r="2783" spans="1:12" x14ac:dyDescent="0.25">
      <c r="A2783" s="1" t="s">
        <v>0</v>
      </c>
      <c r="B2783" s="1" t="s">
        <v>1</v>
      </c>
      <c r="C2783" s="1" t="s">
        <v>2</v>
      </c>
      <c r="D2783" s="1" t="s">
        <v>3</v>
      </c>
      <c r="E2783" s="1" t="s">
        <v>4</v>
      </c>
      <c r="F2783" s="2" t="s">
        <v>5</v>
      </c>
      <c r="G2783" s="3" t="s">
        <v>6</v>
      </c>
      <c r="H2783" s="3" t="s">
        <v>7</v>
      </c>
      <c r="I2783" s="6" t="s">
        <v>8</v>
      </c>
      <c r="J2783" s="2" t="s">
        <v>9</v>
      </c>
      <c r="K2783" s="3" t="s">
        <v>10</v>
      </c>
      <c r="L2783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D9" sqref="D9"/>
    </sheetView>
  </sheetViews>
  <sheetFormatPr baseColWidth="10" defaultRowHeight="15" x14ac:dyDescent="0.25"/>
  <cols>
    <col min="1" max="1" width="15.28515625" bestFit="1" customWidth="1"/>
    <col min="2" max="2" width="17.7109375" bestFit="1" customWidth="1"/>
  </cols>
  <sheetData>
    <row r="1" spans="1:9" x14ac:dyDescent="0.25">
      <c r="A1" t="s">
        <v>850</v>
      </c>
      <c r="B1" s="8">
        <v>12980000</v>
      </c>
    </row>
    <row r="2" spans="1:9" x14ac:dyDescent="0.25">
      <c r="A2" t="s">
        <v>1015</v>
      </c>
      <c r="B2" s="8">
        <v>2466200</v>
      </c>
    </row>
    <row r="3" spans="1:9" x14ac:dyDescent="0.25">
      <c r="A3" t="s">
        <v>1014</v>
      </c>
      <c r="B3" s="9">
        <f>B1*2.5%</f>
        <v>324500</v>
      </c>
    </row>
    <row r="4" spans="1:9" x14ac:dyDescent="0.25">
      <c r="A4" t="s">
        <v>1016</v>
      </c>
      <c r="B4" s="9">
        <f>B1*0.00966</f>
        <v>125386.8</v>
      </c>
    </row>
    <row r="6" spans="1:9" x14ac:dyDescent="0.25">
      <c r="A6" s="10" t="s">
        <v>1017</v>
      </c>
      <c r="B6" s="11">
        <f>B1+B2-B3-B4</f>
        <v>14996313.199999999</v>
      </c>
    </row>
    <row r="7" spans="1:9" x14ac:dyDescent="0.25">
      <c r="A7" t="s">
        <v>1018</v>
      </c>
      <c r="B7" s="8">
        <v>17378278</v>
      </c>
    </row>
    <row r="8" spans="1:9" x14ac:dyDescent="0.25">
      <c r="A8" s="10" t="s">
        <v>1019</v>
      </c>
      <c r="B8" s="11">
        <f>B6-B7</f>
        <v>-2381964.8000000007</v>
      </c>
    </row>
    <row r="11" spans="1:9" x14ac:dyDescent="0.25">
      <c r="I11" s="13"/>
    </row>
    <row r="12" spans="1:9" x14ac:dyDescent="0.25">
      <c r="I12" s="13"/>
    </row>
    <row r="13" spans="1:9" x14ac:dyDescent="0.25">
      <c r="I13" s="14"/>
    </row>
    <row r="14" spans="1:9" x14ac:dyDescent="0.25">
      <c r="I14" s="14"/>
    </row>
    <row r="15" spans="1:9" x14ac:dyDescent="0.25">
      <c r="I15" s="14"/>
    </row>
    <row r="16" spans="1:9" x14ac:dyDescent="0.25">
      <c r="I16" s="14"/>
    </row>
    <row r="17" spans="9:9" x14ac:dyDescent="0.25">
      <c r="I17" s="14"/>
    </row>
    <row r="18" spans="9:9" x14ac:dyDescent="0.25">
      <c r="I18" s="14"/>
    </row>
    <row r="19" spans="9:9" x14ac:dyDescent="0.25">
      <c r="I19" s="14"/>
    </row>
    <row r="20" spans="9:9" x14ac:dyDescent="0.25">
      <c r="I20" s="14"/>
    </row>
    <row r="21" spans="9:9" x14ac:dyDescent="0.25">
      <c r="I21" s="13"/>
    </row>
    <row r="30" spans="9:9" x14ac:dyDescent="0.25">
      <c r="I30" s="12">
        <f>SUM(I13:I29)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2025-05-06T20:59:33Z</dcterms:created>
  <dcterms:modified xsi:type="dcterms:W3CDTF">2026-04-20T23:09:01Z</dcterms:modified>
</cp:coreProperties>
</file>