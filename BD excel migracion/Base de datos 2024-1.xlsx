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ecnomotosHB\Desktop\base de datos\"/>
    </mc:Choice>
  </mc:AlternateContent>
  <bookViews>
    <workbookView xWindow="0" yWindow="0" windowWidth="24000" windowHeight="934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58" i="1" l="1"/>
  <c r="I2622" i="1" l="1"/>
  <c r="I2176" i="1" l="1"/>
  <c r="I1965" i="1" l="1"/>
  <c r="I2490" i="1"/>
  <c r="I1993" i="1"/>
  <c r="I2717" i="1" l="1"/>
  <c r="I2716" i="1"/>
  <c r="I2711" i="1"/>
  <c r="I2710" i="1"/>
  <c r="I2709" i="1"/>
  <c r="I2708" i="1"/>
  <c r="I2706" i="1"/>
  <c r="I2705" i="1"/>
  <c r="I2704" i="1"/>
  <c r="I2703" i="1"/>
  <c r="I2702" i="1"/>
  <c r="I2701" i="1"/>
  <c r="I2700" i="1"/>
  <c r="I2713" i="1" l="1"/>
  <c r="I2721" i="1"/>
  <c r="I2683" i="1"/>
  <c r="I2676" i="1"/>
  <c r="I2668" i="1"/>
  <c r="I2659" i="1"/>
  <c r="I2651" i="1"/>
  <c r="I2613" i="1"/>
  <c r="I2601" i="1"/>
  <c r="I2558" i="1"/>
  <c r="I2548" i="1"/>
  <c r="I2538" i="1"/>
  <c r="I2532" i="1"/>
  <c r="I2523" i="1"/>
  <c r="I2517" i="1"/>
  <c r="I2567" i="1"/>
  <c r="I2594" i="1"/>
  <c r="I2481" i="1"/>
  <c r="I2475" i="1"/>
  <c r="I2468" i="1"/>
  <c r="I2456" i="1"/>
  <c r="I2447" i="1"/>
  <c r="I2429" i="1"/>
  <c r="I2372" i="1"/>
  <c r="I2577" i="1"/>
  <c r="I2639" i="1" l="1"/>
  <c r="I1978" i="1" l="1"/>
  <c r="I2357" i="1"/>
  <c r="I2388" i="1"/>
  <c r="I2407" i="1"/>
  <c r="I2378" i="1"/>
  <c r="I2342" i="1"/>
  <c r="I2334" i="1"/>
  <c r="I2318" i="1"/>
  <c r="I2310" i="1"/>
  <c r="I2290" i="1"/>
  <c r="I2281" i="1"/>
  <c r="I2273" i="1" l="1"/>
  <c r="I2264" i="1"/>
  <c r="I2238" i="1"/>
  <c r="I1861" i="1"/>
  <c r="I1793" i="1"/>
  <c r="I1772" i="1"/>
  <c r="I1922" i="1"/>
  <c r="I2229" i="1"/>
  <c r="I2217" i="1"/>
  <c r="I2211" i="1"/>
  <c r="I2194" i="1"/>
  <c r="I2184" i="1"/>
  <c r="I2161" i="1"/>
  <c r="I2135" i="1"/>
  <c r="I2119" i="1"/>
  <c r="I2112" i="1"/>
  <c r="I2098" i="1"/>
  <c r="I2089" i="1"/>
  <c r="I2075" i="1"/>
  <c r="I2044" i="1"/>
  <c r="I2058" i="1"/>
  <c r="I2030" i="1"/>
  <c r="I2017" i="1"/>
  <c r="I2003" i="1"/>
  <c r="I1901" i="1" l="1"/>
  <c r="I1842" i="1"/>
  <c r="I1818" i="1"/>
  <c r="I1850" i="1"/>
  <c r="I1895" i="1"/>
  <c r="I1889" i="1"/>
  <c r="I1880" i="1"/>
  <c r="I1867" i="1"/>
  <c r="I1764" i="1"/>
  <c r="I1800" i="1"/>
  <c r="I1756" i="1"/>
  <c r="I1942" i="1"/>
  <c r="I1748" i="1"/>
  <c r="I1732" i="1" l="1"/>
  <c r="I1718" i="1"/>
  <c r="I1709" i="1"/>
  <c r="I1579" i="1"/>
  <c r="I1700" i="1"/>
  <c r="I1690" i="1"/>
  <c r="I1929" i="1"/>
  <c r="I1678" i="1" l="1"/>
  <c r="I1665" i="1"/>
  <c r="I1646" i="1"/>
  <c r="I1632" i="1"/>
  <c r="I1626" i="1"/>
  <c r="I1619" i="1"/>
  <c r="I1609" i="1"/>
  <c r="I1602" i="1"/>
  <c r="I1566" i="1"/>
  <c r="I1559" i="1"/>
  <c r="I1542" i="1"/>
  <c r="I1534" i="1"/>
  <c r="I1521" i="1"/>
  <c r="I1512" i="1"/>
  <c r="I1503" i="1"/>
  <c r="I1485" i="1"/>
  <c r="I1470" i="1"/>
  <c r="I1453" i="1"/>
  <c r="I1445" i="1"/>
  <c r="I1439" i="1"/>
  <c r="I1431" i="1"/>
  <c r="I1419" i="1"/>
  <c r="I1410" i="1"/>
  <c r="I1396" i="1"/>
  <c r="I1388" i="1"/>
  <c r="I1378" i="1"/>
  <c r="I1370" i="1"/>
  <c r="I1358" i="1"/>
  <c r="I1351" i="1"/>
  <c r="I1329" i="1"/>
  <c r="I1290" i="1"/>
  <c r="I1277" i="1"/>
  <c r="I1263" i="1"/>
  <c r="I1256" i="1"/>
  <c r="I1224" i="1"/>
  <c r="I1215" i="1"/>
  <c r="I1206" i="1"/>
  <c r="I1197" i="1"/>
  <c r="I1162" i="1"/>
  <c r="I1189" i="1"/>
  <c r="I1176" i="1"/>
  <c r="I868" i="1"/>
  <c r="I812" i="1"/>
  <c r="I1150" i="1"/>
  <c r="I1122" i="1"/>
  <c r="I1143" i="1"/>
  <c r="I1249" i="1"/>
  <c r="I1065" i="1"/>
  <c r="I1057" i="1"/>
  <c r="I556" i="1" l="1"/>
  <c r="I498" i="1" l="1"/>
  <c r="I491" i="1"/>
  <c r="I285" i="1"/>
  <c r="I43" i="1"/>
  <c r="I32" i="1"/>
  <c r="I1116" i="1"/>
  <c r="I1108" i="1"/>
  <c r="I1099" i="1"/>
  <c r="I1090" i="1"/>
  <c r="I1072" i="1"/>
  <c r="I1045" i="1"/>
  <c r="I1038" i="1"/>
  <c r="I987" i="1"/>
  <c r="I980" i="1"/>
  <c r="I968" i="1"/>
  <c r="I945" i="1"/>
  <c r="I937" i="1"/>
  <c r="I930" i="1"/>
  <c r="I910" i="1"/>
  <c r="I1026" i="1"/>
  <c r="I309" i="1"/>
  <c r="I959" i="1"/>
  <c r="I901" i="1"/>
  <c r="I877" i="1"/>
  <c r="I854" i="1"/>
  <c r="I837" i="1" l="1"/>
  <c r="I824" i="1"/>
  <c r="I791" i="1"/>
  <c r="I764" i="1"/>
  <c r="I758" i="1"/>
  <c r="I745" i="1"/>
  <c r="I736" i="1"/>
  <c r="I782" i="1"/>
  <c r="I1014" i="1" l="1"/>
  <c r="I712" i="1"/>
  <c r="I706" i="1"/>
  <c r="I688" i="1"/>
  <c r="I680" i="1" l="1"/>
  <c r="I697" i="1"/>
  <c r="I634" i="1" l="1"/>
  <c r="I604" i="1"/>
  <c r="I598" i="1"/>
  <c r="I592" i="1"/>
  <c r="I582" i="1"/>
  <c r="I549" i="1"/>
  <c r="I543" i="1"/>
  <c r="I537" i="1"/>
  <c r="I477" i="1" l="1"/>
  <c r="I470" i="1"/>
  <c r="I464" i="1"/>
  <c r="I455" i="1"/>
  <c r="I420" i="1"/>
  <c r="I409" i="1"/>
  <c r="I391" i="1"/>
  <c r="I373" i="1"/>
  <c r="I361" i="1"/>
  <c r="I348" i="1"/>
  <c r="I339" i="1"/>
  <c r="I327" i="1"/>
  <c r="I278" i="1"/>
  <c r="I265" i="1"/>
  <c r="I257" i="1"/>
  <c r="I249" i="1"/>
  <c r="I242" i="1"/>
  <c r="I233" i="1"/>
  <c r="I224" i="1"/>
  <c r="I219" i="1"/>
  <c r="I212" i="1"/>
  <c r="I202" i="1"/>
  <c r="I194" i="1"/>
  <c r="I187" i="1"/>
  <c r="I180" i="1"/>
  <c r="I173" i="1"/>
  <c r="I154" i="1"/>
  <c r="I145" i="1" l="1"/>
  <c r="I138" i="1"/>
  <c r="I107" i="1"/>
  <c r="I131" i="1" l="1"/>
  <c r="I122" i="1"/>
  <c r="I98" i="1"/>
  <c r="I85" i="1"/>
  <c r="I77" i="1"/>
  <c r="I63" i="1" l="1"/>
  <c r="I53" i="1"/>
  <c r="I22" i="1"/>
  <c r="I16" i="1"/>
  <c r="I7" i="1"/>
</calcChain>
</file>

<file path=xl/sharedStrings.xml><?xml version="1.0" encoding="utf-8"?>
<sst xmlns="http://schemas.openxmlformats.org/spreadsheetml/2006/main" count="6417" uniqueCount="1241">
  <si>
    <t>FECHA</t>
  </si>
  <si>
    <t xml:space="preserve">MOTOCICLETA </t>
  </si>
  <si>
    <t>PLACA</t>
  </si>
  <si>
    <t>COLOR</t>
  </si>
  <si>
    <t>MD</t>
  </si>
  <si>
    <t xml:space="preserve"> KM </t>
  </si>
  <si>
    <t>TRABAJO A REALIZADO</t>
  </si>
  <si>
    <t xml:space="preserve"> VALOR </t>
  </si>
  <si>
    <t xml:space="preserve"> ABONO </t>
  </si>
  <si>
    <t xml:space="preserve"> SALDO </t>
  </si>
  <si>
    <t>SUPER TENERE</t>
  </si>
  <si>
    <t>OBX 42E</t>
  </si>
  <si>
    <t>AZUL</t>
  </si>
  <si>
    <t>CALCAS DE TANQUE</t>
  </si>
  <si>
    <t>CAMBIO DE ACEITE</t>
  </si>
  <si>
    <t>FILTRO DE ACEITE</t>
  </si>
  <si>
    <t>MANO DE OBRA</t>
  </si>
  <si>
    <t>TOTAL:</t>
  </si>
  <si>
    <t>JEN 14D</t>
  </si>
  <si>
    <t>NEGRO</t>
  </si>
  <si>
    <t>DEPURACION LIQUIDO DE FRENOS</t>
  </si>
  <si>
    <t>REFRIGERANTE</t>
  </si>
  <si>
    <t>SELLO DE AGUA</t>
  </si>
  <si>
    <t>TAPA DE RADIADOR}</t>
  </si>
  <si>
    <t>ARANDELA DE GUARDABAROO</t>
  </si>
  <si>
    <t>ETP 48D</t>
  </si>
  <si>
    <t>GRIS</t>
  </si>
  <si>
    <t>RETEN DE CLUTCH</t>
  </si>
  <si>
    <t>TOTAL</t>
  </si>
  <si>
    <t>VSTROM 650</t>
  </si>
  <si>
    <t>CIR 42C</t>
  </si>
  <si>
    <t>ROJO</t>
  </si>
  <si>
    <t>VENDIX</t>
  </si>
  <si>
    <t>LAVADA</t>
  </si>
  <si>
    <t>ACEITE</t>
  </si>
  <si>
    <t>EMPAQUES</t>
  </si>
  <si>
    <t>EFV 24F</t>
  </si>
  <si>
    <t>SINCRONIZACION Y MANTENIMIENTO GENERAL</t>
  </si>
  <si>
    <t>LLANTA TRASERA</t>
  </si>
  <si>
    <t>PASTILLAS DELANTERAS</t>
  </si>
  <si>
    <t>NOMBRE</t>
  </si>
  <si>
    <t>CARLOS DURAN</t>
  </si>
  <si>
    <t>JAIRO MORENO</t>
  </si>
  <si>
    <t>IVAN</t>
  </si>
  <si>
    <t>JULIAN PERDOMO</t>
  </si>
  <si>
    <t>UJN 01D</t>
  </si>
  <si>
    <t>GILBER PARDO</t>
  </si>
  <si>
    <t>BUJIAS</t>
  </si>
  <si>
    <t>PASTILLAS TRASERAS</t>
  </si>
  <si>
    <t>TECNOMECANMICA</t>
  </si>
  <si>
    <t>FILTRO DE AIRE</t>
  </si>
  <si>
    <t>MANTENIMIENTO Y RETEN DE CLUTCH</t>
  </si>
  <si>
    <t>IOL 01C</t>
  </si>
  <si>
    <t>CAMILO PACHON</t>
  </si>
  <si>
    <t>DISCOS DE FRENO DELANTEROS</t>
  </si>
  <si>
    <t>CORONA</t>
  </si>
  <si>
    <t>DISCO TRASERO</t>
  </si>
  <si>
    <t>UGO 82D</t>
  </si>
  <si>
    <t>FERNANDO ZORRO</t>
  </si>
  <si>
    <t>MANTENIMIENTO GENERAL</t>
  </si>
  <si>
    <t>INSTALACION DE LLANTA</t>
  </si>
  <si>
    <t>MANTENIMIENTO DE CARDAN</t>
  </si>
  <si>
    <t>VSTROM 650 ABS</t>
  </si>
  <si>
    <t>YVB 47D</t>
  </si>
  <si>
    <t>FRANCISCO ROJAS</t>
  </si>
  <si>
    <t>CAMBIO DE RODAMIENTOS DELANTEROS</t>
  </si>
  <si>
    <t>TAPON DE ACEITE</t>
  </si>
  <si>
    <t>DANIEL</t>
  </si>
  <si>
    <t>RODAMIENTOS TRASEROS</t>
  </si>
  <si>
    <t>ARREGLO ABS</t>
  </si>
  <si>
    <t>BARRITA</t>
  </si>
  <si>
    <t>XT 660</t>
  </si>
  <si>
    <t>CYE 79E</t>
  </si>
  <si>
    <t>CAMBBIO DE ACEITE</t>
  </si>
  <si>
    <t>CAMBIO PASTILLAS TRRASERAS</t>
  </si>
  <si>
    <t>MANRENIMIENTO DE KIT DE ARRASTRE</t>
  </si>
  <si>
    <t>ER6N</t>
  </si>
  <si>
    <t>VERSYS 350</t>
  </si>
  <si>
    <t>URF 03F</t>
  </si>
  <si>
    <t xml:space="preserve">CAMBIO DE ACEITE </t>
  </si>
  <si>
    <t>13 MESES</t>
  </si>
  <si>
    <t>TQV 48E</t>
  </si>
  <si>
    <t>VERDE</t>
  </si>
  <si>
    <t>ANDRES FERNANDEZ</t>
  </si>
  <si>
    <t xml:space="preserve">JOHNY </t>
  </si>
  <si>
    <t>AFRICA TWIN</t>
  </si>
  <si>
    <t>OEG 03E</t>
  </si>
  <si>
    <t>BLANCO</t>
  </si>
  <si>
    <t>JORGE PINILLA</t>
  </si>
  <si>
    <t>LLANTAS Y MANO DE OBRA</t>
  </si>
  <si>
    <t>NC 700</t>
  </si>
  <si>
    <t>CONSTANZA JAIMES</t>
  </si>
  <si>
    <t>ELECTROSTATICA</t>
  </si>
  <si>
    <t>XT660R</t>
  </si>
  <si>
    <t>JDL 29C</t>
  </si>
  <si>
    <t>MANTENIMIENTO DE CADENA</t>
  </si>
  <si>
    <t>CAMBIO DE</t>
  </si>
  <si>
    <t>MANTENIMIENTO FILTRO DE AIRE</t>
  </si>
  <si>
    <t>UVY 97C</t>
  </si>
  <si>
    <t>JOSE MUÑOZ</t>
  </si>
  <si>
    <t>MANTENIMIENTO DE BARRA DEL</t>
  </si>
  <si>
    <t>RETEN DE BARRA</t>
  </si>
  <si>
    <t>ACEITE HIDRAULICO</t>
  </si>
  <si>
    <t>GSXS 750</t>
  </si>
  <si>
    <t>PIN 46F</t>
  </si>
  <si>
    <t>WILLIAM PEREZ</t>
  </si>
  <si>
    <t>MANTENIMIENTO PREVENTIVO</t>
  </si>
  <si>
    <t>OCP 70E</t>
  </si>
  <si>
    <t>VALVULINA</t>
  </si>
  <si>
    <t>DEPURACION DE LIQUIDO DE FRENOS</t>
  </si>
  <si>
    <t>PBW 01D</t>
  </si>
  <si>
    <t>ROLANDO FRANCO</t>
  </si>
  <si>
    <t>MANTENIMIENTO DE BARRA</t>
  </si>
  <si>
    <t xml:space="preserve">RETEN DE BARRA </t>
  </si>
  <si>
    <t>EXPLORADORA</t>
  </si>
  <si>
    <t xml:space="preserve">INSTALACION SENSOR </t>
  </si>
  <si>
    <t>INTERRUPTOR</t>
  </si>
  <si>
    <t>OAS 92E</t>
  </si>
  <si>
    <t>ARENA</t>
  </si>
  <si>
    <t>DANIEL CORREA</t>
  </si>
  <si>
    <t>LUCES LED</t>
  </si>
  <si>
    <t>PORTAPLACA</t>
  </si>
  <si>
    <t>FZ 250</t>
  </si>
  <si>
    <t>LTW 84G</t>
  </si>
  <si>
    <t>KATHERINE FAJARDO</t>
  </si>
  <si>
    <t>PULSAR 220</t>
  </si>
  <si>
    <t>VZR 04C</t>
  </si>
  <si>
    <t>WEIMAR</t>
  </si>
  <si>
    <t xml:space="preserve">SINCRONIZACION Y MANTENIMIENTO </t>
  </si>
  <si>
    <t>CUNAS</t>
  </si>
  <si>
    <t>MKT 81C</t>
  </si>
  <si>
    <t>ANDRES CALDERON</t>
  </si>
  <si>
    <t>CUNAS INSTALADAS</t>
  </si>
  <si>
    <t>HERO HUNK</t>
  </si>
  <si>
    <t>JCH 36F</t>
  </si>
  <si>
    <t>DIEGO QUIROGA</t>
  </si>
  <si>
    <t>AKY NKD</t>
  </si>
  <si>
    <t>JENY</t>
  </si>
  <si>
    <t>DOMICILIO</t>
  </si>
  <si>
    <t>BMW F800</t>
  </si>
  <si>
    <t>OCF 85E</t>
  </si>
  <si>
    <t>EXTRACCION DE TORNILLOS</t>
  </si>
  <si>
    <t>DEPURACION ABS</t>
  </si>
  <si>
    <t>JTR 15C</t>
  </si>
  <si>
    <t>JHOAN SOLANO</t>
  </si>
  <si>
    <t>TAPON DE ESPEJO</t>
  </si>
  <si>
    <t xml:space="preserve">CRISTIAN PACHON </t>
  </si>
  <si>
    <t>ELEVADORES</t>
  </si>
  <si>
    <t>EXPLORADORAS</t>
  </si>
  <si>
    <t>DISCOS DE FRENO</t>
  </si>
  <si>
    <t>DEFENSA</t>
  </si>
  <si>
    <t>MANO DE OBRA CORONA</t>
  </si>
  <si>
    <t>MANO DE OBRA DISCOS</t>
  </si>
  <si>
    <t>VERSYS 650</t>
  </si>
  <si>
    <t>SELLOS DE VALVULAS</t>
  </si>
  <si>
    <t>SENTADA DE VALVULAS</t>
  </si>
  <si>
    <t>REPARACION</t>
  </si>
  <si>
    <t xml:space="preserve">REFRIGERANTE </t>
  </si>
  <si>
    <t>GUAYAS DE ACELERADOR</t>
  </si>
  <si>
    <t>MCW 62F</t>
  </si>
  <si>
    <t>GUILLERMO URREGO</t>
  </si>
  <si>
    <t>CAMBIO DE LUCES</t>
  </si>
  <si>
    <t>LLANTA</t>
  </si>
  <si>
    <t>TENERE 660</t>
  </si>
  <si>
    <t>JUS 02C</t>
  </si>
  <si>
    <t>NIVELACION DE ACEITE</t>
  </si>
  <si>
    <t>MICO</t>
  </si>
  <si>
    <t>TENSION DE CADEMA</t>
  </si>
  <si>
    <t>GIXXER</t>
  </si>
  <si>
    <t>CTH 38F</t>
  </si>
  <si>
    <t>TENSION DE CADENA</t>
  </si>
  <si>
    <t>BWS</t>
  </si>
  <si>
    <t>TWY 42E</t>
  </si>
  <si>
    <t>BOMBILLO DE STOP</t>
  </si>
  <si>
    <t>MANTENIMIENTO DE MORDAZAS</t>
  </si>
  <si>
    <t>XDN 99G</t>
  </si>
  <si>
    <t>ELIZABETH</t>
  </si>
  <si>
    <t>EDUARDO CASAS</t>
  </si>
  <si>
    <t>CALCOMANIAS DE TANQUE</t>
  </si>
  <si>
    <t>DEFENSAS</t>
  </si>
  <si>
    <t>MODIFICACION DE EXOSTO</t>
  </si>
  <si>
    <t>DEFLECTORES</t>
  </si>
  <si>
    <t>VARILLAS</t>
  </si>
  <si>
    <t>CARGADORES USB</t>
  </si>
  <si>
    <t>PROTECTORES FAROLA</t>
  </si>
  <si>
    <t>PROTECTORES DE BARRAS</t>
  </si>
  <si>
    <t>SKID PLATE</t>
  </si>
  <si>
    <t>IMPERMEABILIZACION DE BOBINAS</t>
  </si>
  <si>
    <t>ELEVADORES DE MANUBRIOO</t>
  </si>
  <si>
    <t>GUARDABARRO TRASERO</t>
  </si>
  <si>
    <t>INSTALACION DE EXPLORADORAS</t>
  </si>
  <si>
    <t>DESCUENTO</t>
  </si>
  <si>
    <t>HECTOR OCHOA</t>
  </si>
  <si>
    <t>DISCOS DE CLUTCH</t>
  </si>
  <si>
    <t xml:space="preserve">INSTALACION </t>
  </si>
  <si>
    <t>CAMBIO DFILTRO DE AIRE</t>
  </si>
  <si>
    <t>VERSYS</t>
  </si>
  <si>
    <t>VJE 52D</t>
  </si>
  <si>
    <t>ANDRES CHAPARRO</t>
  </si>
  <si>
    <t>SOPORTES DE MOTOR</t>
  </si>
  <si>
    <t>MANTENIMIENTO FFRENO TRASERO</t>
  </si>
  <si>
    <t>GIXXER 250</t>
  </si>
  <si>
    <t>YTL 29F</t>
  </si>
  <si>
    <t>CAMILO GIL</t>
  </si>
  <si>
    <t>CAMBIO KIT DE ARRASTRE</t>
  </si>
  <si>
    <t>CBR 600</t>
  </si>
  <si>
    <t>SCO 15B</t>
  </si>
  <si>
    <t>RETEN</t>
  </si>
  <si>
    <t>ORRING CULATA</t>
  </si>
  <si>
    <t>SALDO DUCATI</t>
  </si>
  <si>
    <t>VSTROM</t>
  </si>
  <si>
    <t>NNB 98F</t>
  </si>
  <si>
    <t>JUAN RAMIREZ</t>
  </si>
  <si>
    <t>ARREGLO SLIDER</t>
  </si>
  <si>
    <t>XTZ 150</t>
  </si>
  <si>
    <t>VOQ 35F</t>
  </si>
  <si>
    <t>FELIPE PEÑA</t>
  </si>
  <si>
    <t>JYA 49D</t>
  </si>
  <si>
    <t>ANDRES LOPEZ</t>
  </si>
  <si>
    <t>LIMPIEZA DE BOMBA E INYECTORES</t>
  </si>
  <si>
    <t>OET 23D</t>
  </si>
  <si>
    <t>SERGIO RODRIGUEZ</t>
  </si>
  <si>
    <t>ODV 48D</t>
  </si>
  <si>
    <t>EDGAR MARTINEZ</t>
  </si>
  <si>
    <t>CAMBIO DE REFRIGERATNTE</t>
  </si>
  <si>
    <t>RNM 05G</t>
  </si>
  <si>
    <t xml:space="preserve">IMPERMEABILIZACION </t>
  </si>
  <si>
    <t>INSTALACION STOP</t>
  </si>
  <si>
    <t xml:space="preserve">TRACER </t>
  </si>
  <si>
    <t>UGP 72D</t>
  </si>
  <si>
    <t>LUIS NOREÑA</t>
  </si>
  <si>
    <t>SINCRONIZACION</t>
  </si>
  <si>
    <t>TAPA DE RADIADOR</t>
  </si>
  <si>
    <t>LUZ FEDERAL</t>
  </si>
  <si>
    <t>ARREGLO TAPAS LATERALES</t>
  </si>
  <si>
    <t>EMPAQUE TAPA VOLANTE</t>
  </si>
  <si>
    <t>JXA 75D</t>
  </si>
  <si>
    <t>DAVID MONTES</t>
  </si>
  <si>
    <t>EXTRACCION TORNILLO DE MORDAZA</t>
  </si>
  <si>
    <t>CAMBIO LLANTA DELANTERA</t>
  </si>
  <si>
    <t>TORNILLO MORDAZA</t>
  </si>
  <si>
    <t>VBM 29D</t>
  </si>
  <si>
    <t>CESAR ABRIL</t>
  </si>
  <si>
    <t>MANTENIMIENTO DE BARRAS</t>
  </si>
  <si>
    <t>MEDIAS DE BARRAS</t>
  </si>
  <si>
    <t>ORJ 76C</t>
  </si>
  <si>
    <t>1/4 ACEITE</t>
  </si>
  <si>
    <t>MT 09</t>
  </si>
  <si>
    <t>PRX 70E</t>
  </si>
  <si>
    <t xml:space="preserve">JUAN FERNANDO </t>
  </si>
  <si>
    <t>CARGA DE BATERIA</t>
  </si>
  <si>
    <t>SCANNER</t>
  </si>
  <si>
    <t>R 15</t>
  </si>
  <si>
    <t>MANO DEOBRA MOTOR</t>
  </si>
  <si>
    <t>KIT DE CILINDRO</t>
  </si>
  <si>
    <t>KIT DE BIELA</t>
  </si>
  <si>
    <t>RODAMIENTOS DE CIGÜEÑAL</t>
  </si>
  <si>
    <t>MONTAJE Y BALANCEO DE BIELA</t>
  </si>
  <si>
    <t>EMPAQUETADURA</t>
  </si>
  <si>
    <t>CADENILLA</t>
  </si>
  <si>
    <t>TAMBOR, TAPA Y DISCOS DE CLUTCH</t>
  </si>
  <si>
    <t>BENELLI 180</t>
  </si>
  <si>
    <t>VFL 32F</t>
  </si>
  <si>
    <t>PDD 60C</t>
  </si>
  <si>
    <t xml:space="preserve">VERDE </t>
  </si>
  <si>
    <t>SEBASTIAN MURCIA</t>
  </si>
  <si>
    <t>TECNOMECANICA</t>
  </si>
  <si>
    <t>TAPAS DE CLUTCH</t>
  </si>
  <si>
    <t>RESORTES DE PRENSA</t>
  </si>
  <si>
    <t>SEPARADORES DE DISCOS</t>
  </si>
  <si>
    <t>AYG 33D</t>
  </si>
  <si>
    <t>RAFAEL</t>
  </si>
  <si>
    <t>INVICTA</t>
  </si>
  <si>
    <t>NRF 84D</t>
  </si>
  <si>
    <t>HAROLD AVENDAÑO</t>
  </si>
  <si>
    <t>1 BUJIA</t>
  </si>
  <si>
    <t>2 RODAMIENTOS</t>
  </si>
  <si>
    <t>TACO RUEDA TRASERA</t>
  </si>
  <si>
    <t>DOMINAR 400</t>
  </si>
  <si>
    <t>IMM 82F</t>
  </si>
  <si>
    <t>CESAR SANCHEZ</t>
  </si>
  <si>
    <t>JZH 57D</t>
  </si>
  <si>
    <t>OCTAVIO</t>
  </si>
  <si>
    <t>PINTURA DE RINES EN ELECTROSTATTICA</t>
  </si>
  <si>
    <t>CINCADO DE PIEZAS Y RADIOS</t>
  </si>
  <si>
    <t>ARMADE Y CENTRADA DE RINES</t>
  </si>
  <si>
    <t>PULIDA DE CUPULA</t>
  </si>
  <si>
    <t>GUAYA DE ACELERADOR</t>
  </si>
  <si>
    <t>ARREGLO DE ABS</t>
  </si>
  <si>
    <t>BMW 1200</t>
  </si>
  <si>
    <t>CARRILLO</t>
  </si>
  <si>
    <t>PINTURA ELECTROSTA</t>
  </si>
  <si>
    <t>PINTURA DE TAPA</t>
  </si>
  <si>
    <t>CAMBIO DE FILTRO DE ACEITE FULL</t>
  </si>
  <si>
    <t>SALDO CAJON</t>
  </si>
  <si>
    <t>KKZ 86G</t>
  </si>
  <si>
    <t>FILTRO DE AACEITE</t>
  </si>
  <si>
    <t>OHO 31D</t>
  </si>
  <si>
    <t>CARLOS REYES</t>
  </si>
  <si>
    <t>ARREGLO FAROLA</t>
  </si>
  <si>
    <t>COCUYOS</t>
  </si>
  <si>
    <t>TAPA REFRIGERANTE</t>
  </si>
  <si>
    <t>CORRECCION FUGA CKP</t>
  </si>
  <si>
    <t>XTZ 125</t>
  </si>
  <si>
    <t>VJZ 74F</t>
  </si>
  <si>
    <t>CARLOS MESA</t>
  </si>
  <si>
    <t>CAMBIO DE ACEITE 10W40</t>
  </si>
  <si>
    <t>LUBRICANTE DE CADENA</t>
  </si>
  <si>
    <t>GS 500</t>
  </si>
  <si>
    <t xml:space="preserve">SINCRONIZACION </t>
  </si>
  <si>
    <t>DNS 30F</t>
  </si>
  <si>
    <t>CARLOS ARIAS</t>
  </si>
  <si>
    <t>MNTENIMIENTO PREVENTIVO</t>
  </si>
  <si>
    <t>JOHN RODRIGUEZ</t>
  </si>
  <si>
    <t>DEPURACION</t>
  </si>
  <si>
    <t>LDL 49F</t>
  </si>
  <si>
    <t>VLADIMIR MATHEUS</t>
  </si>
  <si>
    <t>PORTECTORES DE BARRAS</t>
  </si>
  <si>
    <t>VARILLAS ANTIVIBRATORIAS</t>
  </si>
  <si>
    <t>INSTALACION EXPLORADORAS</t>
  </si>
  <si>
    <t>PROTECTOR DE FAROLA</t>
  </si>
  <si>
    <t>ZXH 72D</t>
  </si>
  <si>
    <t>MONTY</t>
  </si>
  <si>
    <t>4 BUJIAS</t>
  </si>
  <si>
    <t>PASTILLAS DELANTRAS</t>
  </si>
  <si>
    <t>GATO CENTRAL</t>
  </si>
  <si>
    <t>ARREGLO BOBINAS</t>
  </si>
  <si>
    <t>CHUPAS DE CLUTCH</t>
  </si>
  <si>
    <t>TPU 50E</t>
  </si>
  <si>
    <t>MAURICIO</t>
  </si>
  <si>
    <t>DEPURACION DE ABS</t>
  </si>
  <si>
    <t>RETEN Y MANTENIMIENTO DE CLUTCH</t>
  </si>
  <si>
    <t>AVY 01D</t>
  </si>
  <si>
    <t>PEDRO LOZADA</t>
  </si>
  <si>
    <t>LNW 39C</t>
  </si>
  <si>
    <t>WILSON TOBAR</t>
  </si>
  <si>
    <t>XR 150</t>
  </si>
  <si>
    <t>KJO 47E</t>
  </si>
  <si>
    <t>LUIS BLANCO</t>
  </si>
  <si>
    <t>KIT DE ARRASTRE</t>
  </si>
  <si>
    <t>CAMBIO DE ACITE</t>
  </si>
  <si>
    <t>EJE DE LEVAS</t>
  </si>
  <si>
    <t>PARCHE DE LLANTA</t>
  </si>
  <si>
    <t>DR 200</t>
  </si>
  <si>
    <t>QFU 90B</t>
  </si>
  <si>
    <t>EDWIN CARDENAS</t>
  </si>
  <si>
    <t>KIR DE PISTON</t>
  </si>
  <si>
    <t>KIT DE EMPAQUETADURA MEDIA</t>
  </si>
  <si>
    <t>GASOLINA</t>
  </si>
  <si>
    <t>BUJIA</t>
  </si>
  <si>
    <t>BRUÑIDO DE CILINDRO</t>
  </si>
  <si>
    <t>ISCOS DE CLUTCH</t>
  </si>
  <si>
    <t>SINCRONIZACION Y DIAFRAGMA</t>
  </si>
  <si>
    <t>ARREGLO TAPA DE GASOLINA</t>
  </si>
  <si>
    <t>Z800</t>
  </si>
  <si>
    <t>DDK 73E</t>
  </si>
  <si>
    <t>ANDERSON</t>
  </si>
  <si>
    <t>REVISAR PERA DELANTERA</t>
  </si>
  <si>
    <t>PRENDER DIRECCIONALES</t>
  </si>
  <si>
    <t>INVICTA 150</t>
  </si>
  <si>
    <t>NTD 04D</t>
  </si>
  <si>
    <t>ALEXANDER</t>
  </si>
  <si>
    <t>LIMPIAR CARBUURADOR</t>
  </si>
  <si>
    <t xml:space="preserve">FZ </t>
  </si>
  <si>
    <t>UTG 41E</t>
  </si>
  <si>
    <t>EDWIN HERNANDEZ</t>
  </si>
  <si>
    <t>CAMBIO DE CORONA</t>
  </si>
  <si>
    <t>CAMBIAR GUAYA DE SILLA</t>
  </si>
  <si>
    <t>SCRAMBLER</t>
  </si>
  <si>
    <t>QDW 44E</t>
  </si>
  <si>
    <t>VICTOR FRANCO</t>
  </si>
  <si>
    <t>GARANTIA LLANTA</t>
  </si>
  <si>
    <t>BWS X</t>
  </si>
  <si>
    <t>EHA 13F</t>
  </si>
  <si>
    <t>VLADIMIR POVEDA</t>
  </si>
  <si>
    <t>ARREGLO PROTECTOR DE EXOSTO</t>
  </si>
  <si>
    <t>GS 650</t>
  </si>
  <si>
    <t>PTW 13C</t>
  </si>
  <si>
    <t>HERNANDO VARGAS</t>
  </si>
  <si>
    <t>REVISAR LIQUIDOS</t>
  </si>
  <si>
    <t>REVISAR ACEITE</t>
  </si>
  <si>
    <t>TORNADO 250</t>
  </si>
  <si>
    <t>UYA 59C</t>
  </si>
  <si>
    <t>JORGE</t>
  </si>
  <si>
    <t>ARREGLO FUGA CULATA</t>
  </si>
  <si>
    <t>PULSAR 180</t>
  </si>
  <si>
    <t>IVU 73F</t>
  </si>
  <si>
    <t>MIGUEL BERMEO</t>
  </si>
  <si>
    <t>FAROLA</t>
  </si>
  <si>
    <t>MOTOR DE ARRANQUE</t>
  </si>
  <si>
    <t>COLA</t>
  </si>
  <si>
    <t>CAMBIO DE CADENILLA</t>
  </si>
  <si>
    <t>EMPAQUEADURA</t>
  </si>
  <si>
    <t>CONTRABALANCEADOR</t>
  </si>
  <si>
    <t>YHB 52C</t>
  </si>
  <si>
    <t>EDGAR ACOSTA</t>
  </si>
  <si>
    <t>CAMBIO RETEN DE AGUA</t>
  </si>
  <si>
    <t>ARREGLO MULETA</t>
  </si>
  <si>
    <t>BMW F850GS</t>
  </si>
  <si>
    <t>CAMILO PARDO</t>
  </si>
  <si>
    <t>1/4 DE ACEITE</t>
  </si>
  <si>
    <t>DAI 17E</t>
  </si>
  <si>
    <t>BMW 310</t>
  </si>
  <si>
    <t>LCB 55F</t>
  </si>
  <si>
    <t>ALONSO DUEÑAS</t>
  </si>
  <si>
    <t>FILTRO DE ACEIRE</t>
  </si>
  <si>
    <t>CORONEL</t>
  </si>
  <si>
    <t>SINCRONICACION Y MANTENIMIENTO GENERAL</t>
  </si>
  <si>
    <t>HELICOIL</t>
  </si>
  <si>
    <t>DOMINAR</t>
  </si>
  <si>
    <t>GYI 40G</t>
  </si>
  <si>
    <t>CAROLINA</t>
  </si>
  <si>
    <t>JAVIER BECERRA</t>
  </si>
  <si>
    <t>SOLDADURA</t>
  </si>
  <si>
    <t xml:space="preserve">BMW </t>
  </si>
  <si>
    <t>DBI 12E</t>
  </si>
  <si>
    <t>BERNARDO GAMBOA</t>
  </si>
  <si>
    <t>REVISION FILTRO DE AIRE</t>
  </si>
  <si>
    <t>BMW R1200</t>
  </si>
  <si>
    <t>RETEN DE CARDAN</t>
  </si>
  <si>
    <t>MANO DE OBRA CARDAN</t>
  </si>
  <si>
    <t>PASTILLAS TRASERAS ST</t>
  </si>
  <si>
    <t>BOMNILLO ST</t>
  </si>
  <si>
    <t>DESPINCHAR RUEDA TRASERA ST</t>
  </si>
  <si>
    <t>2 RADIOS TRASEROS ST</t>
  </si>
  <si>
    <t>ARREGLO DE MALETERO</t>
  </si>
  <si>
    <t>ARREGLO TAPA DE EXOSTO</t>
  </si>
  <si>
    <t>SENSOR DE ABS DELANTERO</t>
  </si>
  <si>
    <t>ARIEL</t>
  </si>
  <si>
    <t>CAMBIO DE TORNILLOS DE CARDAN</t>
  </si>
  <si>
    <t>LIMPIEZA FILTRO DE AIRE</t>
  </si>
  <si>
    <t>RETOQUES DE CHASIS</t>
  </si>
  <si>
    <t>BOBINA</t>
  </si>
  <si>
    <t>ANILLADA</t>
  </si>
  <si>
    <t>ROC 37F</t>
  </si>
  <si>
    <t>NESTOR PINILLA</t>
  </si>
  <si>
    <t xml:space="preserve">SUPER TENERE </t>
  </si>
  <si>
    <t>BOXER</t>
  </si>
  <si>
    <t>DIEGO MANCIPE</t>
  </si>
  <si>
    <t>MANTENIMIENTO DE FRENOS</t>
  </si>
  <si>
    <t>PIÑON VELOCIMETRO</t>
  </si>
  <si>
    <t>TERMINAL</t>
  </si>
  <si>
    <t>MULTIESTRADA V4</t>
  </si>
  <si>
    <t>CQC 11G</t>
  </si>
  <si>
    <t>LEONARDO</t>
  </si>
  <si>
    <t>COLOCAR SLIME</t>
  </si>
  <si>
    <t>LUBRICAR CADENA</t>
  </si>
  <si>
    <t>ARREGLO GUARDABARRO</t>
  </si>
  <si>
    <t>RODAMIENTOS</t>
  </si>
  <si>
    <t>PILA CONTROL</t>
  </si>
  <si>
    <t>FZL 79C</t>
  </si>
  <si>
    <t>ARREGLO AMORTIGUADOR</t>
  </si>
  <si>
    <t>COCUYO</t>
  </si>
  <si>
    <t>PINTURA TAPAS DE MOTOR</t>
  </si>
  <si>
    <t xml:space="preserve">RETOQUES </t>
  </si>
  <si>
    <t>LIMPIEZA DE EXOSTOS</t>
  </si>
  <si>
    <t>BKD 01</t>
  </si>
  <si>
    <t>DAVID</t>
  </si>
  <si>
    <t>BARRA IZQUIERDA</t>
  </si>
  <si>
    <t>VARILLA CUERPO DE ACELERACION</t>
  </si>
  <si>
    <t>OGX 44F</t>
  </si>
  <si>
    <t>SERGIO ZAPATA</t>
  </si>
  <si>
    <t>XXS 92E</t>
  </si>
  <si>
    <t>CAMILO GOMEZ</t>
  </si>
  <si>
    <t>AJUSTE GENERAL</t>
  </si>
  <si>
    <t>NS 160</t>
  </si>
  <si>
    <t>RAQ 23G</t>
  </si>
  <si>
    <t>JEIDER</t>
  </si>
  <si>
    <t xml:space="preserve">POSAPIE </t>
  </si>
  <si>
    <t>CAMBIO DE ACEITE 15W50 REPSOL</t>
  </si>
  <si>
    <t>LUB 92F</t>
  </si>
  <si>
    <t>SIGIFREDO</t>
  </si>
  <si>
    <t>REVISAR SUSPENSIOON</t>
  </si>
  <si>
    <t>NAVI</t>
  </si>
  <si>
    <t>WMA 23E</t>
  </si>
  <si>
    <t>RENDE EL START</t>
  </si>
  <si>
    <t>JWY 20E</t>
  </si>
  <si>
    <t>CAAMBIO DE ACEITE</t>
  </si>
  <si>
    <t>CAMBIAR FILTROS</t>
  </si>
  <si>
    <t>REVISAR CLUTCH</t>
  </si>
  <si>
    <t>REVISAR EXPLORADORA LARGA</t>
  </si>
  <si>
    <t>ORK 96C</t>
  </si>
  <si>
    <t>RAUL BARRETO</t>
  </si>
  <si>
    <t>TOTAL;</t>
  </si>
  <si>
    <t>MHH 74D</t>
  </si>
  <si>
    <t>SCANER</t>
  </si>
  <si>
    <t>ARREGLO DIRECCIONAL IZQUIERDA TRASERA</t>
  </si>
  <si>
    <t xml:space="preserve">BOMBILLO PERA DE FRENO </t>
  </si>
  <si>
    <t>BUJES DE MANUBRIO</t>
  </si>
  <si>
    <t>APACHE 200</t>
  </si>
  <si>
    <t>XZV 08E</t>
  </si>
  <si>
    <t>ALEJANDRO MELO</t>
  </si>
  <si>
    <t>CAMBIAR ACEITE DE BARRAS</t>
  </si>
  <si>
    <t>BENELLI TRK</t>
  </si>
  <si>
    <t>GYJ 66G</t>
  </si>
  <si>
    <t>DAVID ROBAYO</t>
  </si>
  <si>
    <t>CAMBIO DE ACEIRE</t>
  </si>
  <si>
    <t>DCQ 06E</t>
  </si>
  <si>
    <t>GIXXER 150</t>
  </si>
  <si>
    <t>EUN 44E</t>
  </si>
  <si>
    <t>BRIAN OTALORA</t>
  </si>
  <si>
    <t>CAMBIO DE SWITCH</t>
  </si>
  <si>
    <t>OCW 12E</t>
  </si>
  <si>
    <t>WILLIAM CACERES</t>
  </si>
  <si>
    <t>SERVICE</t>
  </si>
  <si>
    <t>RADIADOR</t>
  </si>
  <si>
    <t>HIMALAYAN</t>
  </si>
  <si>
    <t>CVF 65G</t>
  </si>
  <si>
    <t>ABEL GAVIRIA</t>
  </si>
  <si>
    <t>REVISAR CUNAS</t>
  </si>
  <si>
    <t>MANO DE OBRA FILTRO DE AIRE</t>
  </si>
  <si>
    <t>ROYAL ENFIELD</t>
  </si>
  <si>
    <t>JONATHAN</t>
  </si>
  <si>
    <t>CAMBIO DE EXPLORADORAS</t>
  </si>
  <si>
    <t>CAMBIO GUARDABARRO TRASERO</t>
  </si>
  <si>
    <t>CAMBIO DE MANUBRIO</t>
  </si>
  <si>
    <t>DOMICILIOS</t>
  </si>
  <si>
    <t>CUPULA</t>
  </si>
  <si>
    <t>MOTO HERMANO</t>
  </si>
  <si>
    <t>ARREGLO EXOSTO</t>
  </si>
  <si>
    <t>EQD 97F</t>
  </si>
  <si>
    <t>DR 650</t>
  </si>
  <si>
    <t>BOF 93</t>
  </si>
  <si>
    <t>CAMILA ORTIZ</t>
  </si>
  <si>
    <t>ARREGLO CARBURADOR</t>
  </si>
  <si>
    <t>FILTRO DE GASOLINA</t>
  </si>
  <si>
    <t>YIM 30C</t>
  </si>
  <si>
    <t>SERGIO PEREA</t>
  </si>
  <si>
    <t>JSK 44C</t>
  </si>
  <si>
    <t>OSCAR RICO</t>
  </si>
  <si>
    <t>PARCHE LLANTA</t>
  </si>
  <si>
    <t>VICTORY</t>
  </si>
  <si>
    <t>SOREL DIAZ</t>
  </si>
  <si>
    <t>REVISAR KIT DE ARRASTRE</t>
  </si>
  <si>
    <t>AJUSTE DE CUNAS</t>
  </si>
  <si>
    <t>SENSOR DE GASOLINA</t>
  </si>
  <si>
    <t>GRADUAR FRENOS</t>
  </si>
  <si>
    <t>TDM 900</t>
  </si>
  <si>
    <t>BUZ 47C</t>
  </si>
  <si>
    <t>DANIEL BASTIAS</t>
  </si>
  <si>
    <t>REVISAR FUGA DE ACEITE CUANDO DE CALIENTA</t>
  </si>
  <si>
    <t>SUPER TENER</t>
  </si>
  <si>
    <t>REVISAR BOBINAS</t>
  </si>
  <si>
    <t>ER6F</t>
  </si>
  <si>
    <t>NARANJA</t>
  </si>
  <si>
    <t>ARIEL MENDEZ</t>
  </si>
  <si>
    <t>MANTENIMIENTO DE FILTRO</t>
  </si>
  <si>
    <t>SANTIAGO RODRIGUEZ</t>
  </si>
  <si>
    <t>ARREGLO RIN TRASERO</t>
  </si>
  <si>
    <t>VPG 02E</t>
  </si>
  <si>
    <t>LAURA LEON</t>
  </si>
  <si>
    <t>CAMBIO DE CUNAS</t>
  </si>
  <si>
    <t>CAMBIO TAPON CULATA</t>
  </si>
  <si>
    <t>ORRING</t>
  </si>
  <si>
    <t>GPD 92G</t>
  </si>
  <si>
    <t>NRL 99F</t>
  </si>
  <si>
    <t>DARIO BOTERO</t>
  </si>
  <si>
    <t>OEQ 88E</t>
  </si>
  <si>
    <t>PABLO PINILLA</t>
  </si>
  <si>
    <t>ARREGLO LUZ FRONTAL</t>
  </si>
  <si>
    <t xml:space="preserve">STAY </t>
  </si>
  <si>
    <t xml:space="preserve">AGILITY </t>
  </si>
  <si>
    <t>JOM 19F</t>
  </si>
  <si>
    <t>DIEGO LOPEZ</t>
  </si>
  <si>
    <t>APACHE</t>
  </si>
  <si>
    <t>MNJ 30E</t>
  </si>
  <si>
    <t>FELIPE CIFUENTES</t>
  </si>
  <si>
    <t>REVISAR CAJA</t>
  </si>
  <si>
    <t>APRILIA</t>
  </si>
  <si>
    <t>JXO 74D</t>
  </si>
  <si>
    <t>OMAR CARDENAS</t>
  </si>
  <si>
    <t>MANTENIMIENTO BARRA IZQUIERDA</t>
  </si>
  <si>
    <t>REVISAR FUGA</t>
  </si>
  <si>
    <t xml:space="preserve">LAVADA </t>
  </si>
  <si>
    <t>CADENA</t>
  </si>
  <si>
    <t>RXQ 74D</t>
  </si>
  <si>
    <t>RICARDO</t>
  </si>
  <si>
    <t>BUJES DE DIRECCION</t>
  </si>
  <si>
    <t>ARREGLO DE CHASIS</t>
  </si>
  <si>
    <t>MANTENIMIENTO KIT DE ARRASTRE</t>
  </si>
  <si>
    <t>REVISAR PASTILLAS</t>
  </si>
  <si>
    <t>ARREGLO DIRECCIONAL IZQUIERDA TRASEA</t>
  </si>
  <si>
    <t>MANUBRIO</t>
  </si>
  <si>
    <t>CAMBIO MANUBRIO</t>
  </si>
  <si>
    <t>AKT DIMANIC</t>
  </si>
  <si>
    <t>OFM 08D</t>
  </si>
  <si>
    <t>LAURA</t>
  </si>
  <si>
    <t xml:space="preserve">SINCRONIZAR </t>
  </si>
  <si>
    <t>XRE 300</t>
  </si>
  <si>
    <t>YQY 87D</t>
  </si>
  <si>
    <t>JHONY VALENCIA</t>
  </si>
  <si>
    <t>RETIRAR MONEDAS</t>
  </si>
  <si>
    <t>RETIRAR EXPLORADORAS</t>
  </si>
  <si>
    <t>RETIRAR PORTAMALETAS</t>
  </si>
  <si>
    <t>RETIRAR SOPORTE DE CELULAR</t>
  </si>
  <si>
    <t>BMW F850</t>
  </si>
  <si>
    <t>EUB 97F</t>
  </si>
  <si>
    <t>ROBERTO MONCAYO</t>
  </si>
  <si>
    <t>SMM 95B</t>
  </si>
  <si>
    <t>JORGE SANCHEZ</t>
  </si>
  <si>
    <t>SE ACELERA</t>
  </si>
  <si>
    <t>RUIDO AL PRENDER</t>
  </si>
  <si>
    <t>OPZ 99C</t>
  </si>
  <si>
    <t>NS 200</t>
  </si>
  <si>
    <t>NID 50G</t>
  </si>
  <si>
    <t>EDGAR MESA</t>
  </si>
  <si>
    <t>CAMBIAR BARRAS</t>
  </si>
  <si>
    <t>CAMBIAR ROTACION LLANTA DELANTERA</t>
  </si>
  <si>
    <t>R15</t>
  </si>
  <si>
    <t>YQM 72E</t>
  </si>
  <si>
    <t>JHON GALIANO</t>
  </si>
  <si>
    <t>MANTENIMIENTO BARRA DERECHA</t>
  </si>
  <si>
    <t>PASTILLAS DELANTERAS Y TRASERAS</t>
  </si>
  <si>
    <t>BNK 27</t>
  </si>
  <si>
    <t>HENRY HERNANDEZ</t>
  </si>
  <si>
    <t>SINCRONIZACION Y MTO GENERAL</t>
  </si>
  <si>
    <t>CAMBIO DE BOMBA</t>
  </si>
  <si>
    <t>RODAMIENTO TRASERO</t>
  </si>
  <si>
    <t>AKT CR5</t>
  </si>
  <si>
    <t>LAURA PEÑA</t>
  </si>
  <si>
    <t>CII 73F</t>
  </si>
  <si>
    <t>ZLK 48F</t>
  </si>
  <si>
    <t>BRAYAN GOMEZ</t>
  </si>
  <si>
    <t>REPARACION PARCIAL</t>
  </si>
  <si>
    <t>RETENES EJE DE CAMBIOS</t>
  </si>
  <si>
    <t>PALANCA DE CAMBIOS</t>
  </si>
  <si>
    <t>DBT 46E</t>
  </si>
  <si>
    <t>CAMBIO FILTRO DE AIRE</t>
  </si>
  <si>
    <t>CBR 500</t>
  </si>
  <si>
    <t>ODW 52E</t>
  </si>
  <si>
    <t>RYO 17D</t>
  </si>
  <si>
    <t>SBI 32D</t>
  </si>
  <si>
    <t>KIRIL</t>
  </si>
  <si>
    <t>CAMCOMANIAS</t>
  </si>
  <si>
    <t>SOPORTES DE EXPLORADORAS</t>
  </si>
  <si>
    <t>INSTALACION LUZ PLACA</t>
  </si>
  <si>
    <t>DTM 45D</t>
  </si>
  <si>
    <t>CAMILO DAJER</t>
  </si>
  <si>
    <t>ARREGLO DE BOBINA</t>
  </si>
  <si>
    <t>TAPA RADIADOR</t>
  </si>
  <si>
    <t>OSX 53C</t>
  </si>
  <si>
    <t>DANIEL LOPEZ</t>
  </si>
  <si>
    <t>ARREGLO BOBINA</t>
  </si>
  <si>
    <t>HONDA CBR 250</t>
  </si>
  <si>
    <t>TOY 27D</t>
  </si>
  <si>
    <t>CARLOS RUBIANO</t>
  </si>
  <si>
    <t>ARREGLO DE SWITCH</t>
  </si>
  <si>
    <t>800 DE ACEITE</t>
  </si>
  <si>
    <t>YWR 20E</t>
  </si>
  <si>
    <t>CAMBIO DE LLANTA DELANTERA</t>
  </si>
  <si>
    <t>MANTENIMIENTO DE CLUTXH</t>
  </si>
  <si>
    <t>MANTENIMIENTOSUSPENSION TRASERA</t>
  </si>
  <si>
    <t>BOMBILLO FRONTAL</t>
  </si>
  <si>
    <t>BUJE DE CLUTCH</t>
  </si>
  <si>
    <t>DUCATI SCAMBLER</t>
  </si>
  <si>
    <t>LCS 77F</t>
  </si>
  <si>
    <t>JAVIER MONCAYO</t>
  </si>
  <si>
    <t>ARREGLO RIN</t>
  </si>
  <si>
    <t>CAMBIO DE LLANTA</t>
  </si>
  <si>
    <t>CAMBIO DE BATERIA</t>
  </si>
  <si>
    <t>OEM 18D</t>
  </si>
  <si>
    <t>SENSOR DE PRESION</t>
  </si>
  <si>
    <t>CTK 53G</t>
  </si>
  <si>
    <t>BLANCOO</t>
  </si>
  <si>
    <t>WILLIAM HERNANDEZ</t>
  </si>
  <si>
    <t>MANTENIMIENTO FILTROS DE AIRE</t>
  </si>
  <si>
    <t>LEANDRO VALENCIA</t>
  </si>
  <si>
    <t>PINTURA</t>
  </si>
  <si>
    <t>PIÑONES DE ARRSTRE</t>
  </si>
  <si>
    <t>BMW F650GS</t>
  </si>
  <si>
    <t>ARMANDO VARGAS</t>
  </si>
  <si>
    <t>ARREGLO CORONA</t>
  </si>
  <si>
    <t>EMPAQUE</t>
  </si>
  <si>
    <t>PULSAR NS 200</t>
  </si>
  <si>
    <t>YJJ 58C</t>
  </si>
  <si>
    <t>JUAN SEBASTIAN</t>
  </si>
  <si>
    <t xml:space="preserve">MT 09 </t>
  </si>
  <si>
    <t>PRX 70C</t>
  </si>
  <si>
    <t>JUAN FERNANDO</t>
  </si>
  <si>
    <t>CAMBIO DE ACEITE ENI 10W40</t>
  </si>
  <si>
    <t>FMT 92C</t>
  </si>
  <si>
    <t>SEÑOR PIQUERO</t>
  </si>
  <si>
    <t>ARREGLO CORTO</t>
  </si>
  <si>
    <t>COCUYO LED</t>
  </si>
  <si>
    <t>JWK 64C</t>
  </si>
  <si>
    <t>CAMBIO DE VALVULINA</t>
  </si>
  <si>
    <t>QDS 23E</t>
  </si>
  <si>
    <t>FRANK RUIZ</t>
  </si>
  <si>
    <t>PINTURA TANQUE</t>
  </si>
  <si>
    <t>SOLDADURA DE RIN</t>
  </si>
  <si>
    <t>ENRADIADA Y DESENRADIADA</t>
  </si>
  <si>
    <t>CALCOMANIAS</t>
  </si>
  <si>
    <t>PINTURA GUARDABARRO DELANTERA</t>
  </si>
  <si>
    <t>PINTURA DE RINES</t>
  </si>
  <si>
    <t>PCX HONDA</t>
  </si>
  <si>
    <t>QED 71E</t>
  </si>
  <si>
    <t>ARREGLO SENSOR RUEDA</t>
  </si>
  <si>
    <t>MANO DE OBRA CUNAS</t>
  </si>
  <si>
    <t xml:space="preserve">VSTROM XT </t>
  </si>
  <si>
    <t>JUAN PABLO RAMIREZ</t>
  </si>
  <si>
    <t>SOLDADURA Y ARREGLO PLASTICO FRONTAL</t>
  </si>
  <si>
    <t>ARREGLO STAY FRONTAL</t>
  </si>
  <si>
    <t>POLICHADO VISOR</t>
  </si>
  <si>
    <t>EXTRACCION TORNILLOS</t>
  </si>
  <si>
    <t>PULIR CUPULA</t>
  </si>
  <si>
    <t>ARREGLO POSAPIE</t>
  </si>
  <si>
    <t>TNS 94C</t>
  </si>
  <si>
    <t>PSJ 83B</t>
  </si>
  <si>
    <t>DOUGLAS</t>
  </si>
  <si>
    <t>ARREGLO MEDIDOR DE GASOLINA</t>
  </si>
  <si>
    <t>ARREGLO SISTEMA ELECTRICO</t>
  </si>
  <si>
    <t>MANO DE OBRA MEDIDOR</t>
  </si>
  <si>
    <t xml:space="preserve">VSTROM </t>
  </si>
  <si>
    <t>CAMBIO DE ACEITE 20W50</t>
  </si>
  <si>
    <t>MANO DE OBRA FILTRO</t>
  </si>
  <si>
    <t>LUBRICACION GUAYA DE CLUTCH</t>
  </si>
  <si>
    <t>AKT CR 5</t>
  </si>
  <si>
    <t xml:space="preserve">KTM </t>
  </si>
  <si>
    <t>DLN 72F</t>
  </si>
  <si>
    <t>DAVID ACEVEDO</t>
  </si>
  <si>
    <t>MANO DE OBRA RIN</t>
  </si>
  <si>
    <t>CAMBIO DE LLANTAS</t>
  </si>
  <si>
    <t>RETOQUES</t>
  </si>
  <si>
    <t>CBR 250</t>
  </si>
  <si>
    <t>UWO 45C</t>
  </si>
  <si>
    <t>WILLIAM FLORES</t>
  </si>
  <si>
    <t>CAMBIO DE ACEITE 7100</t>
  </si>
  <si>
    <t>CAMBIO DE ACEITE BARRAS</t>
  </si>
  <si>
    <t>TACO LLANTA TRASERA</t>
  </si>
  <si>
    <t>HELICOIL MORDAZA</t>
  </si>
  <si>
    <t>SV 650</t>
  </si>
  <si>
    <t>MVW 71E</t>
  </si>
  <si>
    <t>RAUL SIERRA</t>
  </si>
  <si>
    <t>CAMBIO DE ACEITE 10W50</t>
  </si>
  <si>
    <t>BMW F 800</t>
  </si>
  <si>
    <t>SEÑOR RUIZ</t>
  </si>
  <si>
    <t>EXTRACCION DE RODAMIENTOS</t>
  </si>
  <si>
    <t>CARLOS PAREDES</t>
  </si>
  <si>
    <t>ARREGLO SUSPENSION</t>
  </si>
  <si>
    <t>EXTRACCION TORNILLO</t>
  </si>
  <si>
    <t>ESX 73D</t>
  </si>
  <si>
    <t>CRISTIAN CELIS</t>
  </si>
  <si>
    <t>VISOR</t>
  </si>
  <si>
    <t>JXR 94C</t>
  </si>
  <si>
    <t>AUL</t>
  </si>
  <si>
    <t>GUSTAVO BARRETO</t>
  </si>
  <si>
    <t>2 DIRECCIONALES</t>
  </si>
  <si>
    <t>RETENES ORRING</t>
  </si>
  <si>
    <t>BATERIA PULSAR</t>
  </si>
  <si>
    <t xml:space="preserve">AZUL </t>
  </si>
  <si>
    <t>FAZER</t>
  </si>
  <si>
    <t>SAK 14D</t>
  </si>
  <si>
    <t>DANIEL SANCHEZ</t>
  </si>
  <si>
    <t>REPUESTOS</t>
  </si>
  <si>
    <t>CARBURADOR</t>
  </si>
  <si>
    <t>JXA 50D</t>
  </si>
  <si>
    <t xml:space="preserve">EDGARDO </t>
  </si>
  <si>
    <t>LIMPIEZA FILTRO KYN</t>
  </si>
  <si>
    <t>MANTENIMIENTO DE CLUTCH</t>
  </si>
  <si>
    <t>GOLPE RINES</t>
  </si>
  <si>
    <t>SOPORTE STOP</t>
  </si>
  <si>
    <t>RADIO DELANTERO</t>
  </si>
  <si>
    <t>AMARILLO</t>
  </si>
  <si>
    <t>URW 72C</t>
  </si>
  <si>
    <t>ROBERTO GOMEZ</t>
  </si>
  <si>
    <t>ARREGLO RADIADOR</t>
  </si>
  <si>
    <t>VICTORY ZONTES</t>
  </si>
  <si>
    <t>FKG 29G</t>
  </si>
  <si>
    <t>3 PASTILLAS</t>
  </si>
  <si>
    <t>MT 10</t>
  </si>
  <si>
    <t>JXF 42F</t>
  </si>
  <si>
    <t>JUAN CAMILO</t>
  </si>
  <si>
    <t>ARREGLO SUSPENSION DELANTERA</t>
  </si>
  <si>
    <t>PINTURA Y ARREGLO DE RINES</t>
  </si>
  <si>
    <t>PINTURA TAPAS NEGRA</t>
  </si>
  <si>
    <t>MANO DE OBRA GENERAL</t>
  </si>
  <si>
    <t>GUAYA DE CLUTCH</t>
  </si>
  <si>
    <t>INSTALACION DE CUNAS</t>
  </si>
  <si>
    <t>IVA FACTURA ANTERIOR</t>
  </si>
  <si>
    <t>DAE 01E</t>
  </si>
  <si>
    <t>GERMAN POMBO</t>
  </si>
  <si>
    <t>LQI 17C</t>
  </si>
  <si>
    <t>CAMBIO RETEN DE CLUTCH</t>
  </si>
  <si>
    <t>GUARDABARRO TRASERP</t>
  </si>
  <si>
    <t>IJY 46F</t>
  </si>
  <si>
    <t>DANNY CHACON</t>
  </si>
  <si>
    <t>DIRECCIONAL</t>
  </si>
  <si>
    <t>ARREGLO DE MANDO</t>
  </si>
  <si>
    <t>PINTURA TAPA DE MOTOR</t>
  </si>
  <si>
    <t>02 04 24</t>
  </si>
  <si>
    <t xml:space="preserve">VALVULINA </t>
  </si>
  <si>
    <t xml:space="preserve">TOTAL </t>
  </si>
  <si>
    <t xml:space="preserve">FILTRO DE ACEITE </t>
  </si>
  <si>
    <t>CB 190</t>
  </si>
  <si>
    <t>OKE 33E</t>
  </si>
  <si>
    <t>RETEN EJE DE ARRASTRE</t>
  </si>
  <si>
    <t>RETEN PEDAL DE CAMBIOS</t>
  </si>
  <si>
    <t>EMPAQUE TADURA MEDIA</t>
  </si>
  <si>
    <t>ORRING CABEZA DE FUERZA</t>
  </si>
  <si>
    <t>MANTENIMIENTO RODAMIENTOS DELANTEROS</t>
  </si>
  <si>
    <t>ARREGLO BOMBA DE GASOLINA</t>
  </si>
  <si>
    <t>GRIS NEGRO</t>
  </si>
  <si>
    <t>DANIEL MARTINEZ</t>
  </si>
  <si>
    <t>ARREGLO DE MANIGUETA</t>
  </si>
  <si>
    <t>INSTALACION DE DEFENSAS</t>
  </si>
  <si>
    <t>CORRECCION DE FAROLA</t>
  </si>
  <si>
    <t>PINTURA Y ARREGLO DE TAPA DERECHA</t>
  </si>
  <si>
    <t>CAMBIO DE BATERIS</t>
  </si>
  <si>
    <t>YYN 51G</t>
  </si>
  <si>
    <t>HERNANDO VALDERRAMA</t>
  </si>
  <si>
    <t>QUILLA</t>
  </si>
  <si>
    <t>GUARDABARRO</t>
  </si>
  <si>
    <t>BOMBILLOS LED</t>
  </si>
  <si>
    <t>VARILLAS ANTIVIBRATORIS</t>
  </si>
  <si>
    <t>PROTECTORES DE TALON</t>
  </si>
  <si>
    <t>PROTECTOR DE CARDAN</t>
  </si>
  <si>
    <t>EXTENSOR PEDAL DE FRENO</t>
  </si>
  <si>
    <t>CARLOS</t>
  </si>
  <si>
    <t>CORRECCION DE FUGA</t>
  </si>
  <si>
    <t>REVISAR FUERZA</t>
  </si>
  <si>
    <t>ZLP 21F</t>
  </si>
  <si>
    <t>ARNULFO INFANTE</t>
  </si>
  <si>
    <t>REVISION DE PASTILLAS</t>
  </si>
  <si>
    <t>IWB 20G</t>
  </si>
  <si>
    <t>JOSE IBAÑOZ</t>
  </si>
  <si>
    <t>REVISION KIT DE ARRSTRE</t>
  </si>
  <si>
    <t>LIQUIDO DE FRENOS</t>
  </si>
  <si>
    <t>KTM 890</t>
  </si>
  <si>
    <t>CUL 17G</t>
  </si>
  <si>
    <t>HAROLD</t>
  </si>
  <si>
    <t>CAMBIO DE RODAMIENTOS DE AMBAS RUEDAS</t>
  </si>
  <si>
    <t>SCG 07F</t>
  </si>
  <si>
    <t>NICOLAS CAMACHO</t>
  </si>
  <si>
    <t>INSTALACION DE RADIADOR</t>
  </si>
  <si>
    <t>PIAGIO</t>
  </si>
  <si>
    <t>YSI 32D</t>
  </si>
  <si>
    <t>CAFÉ</t>
  </si>
  <si>
    <t>CARLOS ARANGO</t>
  </si>
  <si>
    <t>BOMBILLO</t>
  </si>
  <si>
    <t>RETIRAR PORTACELULAR</t>
  </si>
  <si>
    <t>NIVELAR REFRIGERANTE</t>
  </si>
  <si>
    <t xml:space="preserve">NEGRO </t>
  </si>
  <si>
    <t>ARREGLAR DIRECCIONAL</t>
  </si>
  <si>
    <t>REVISAR PITO</t>
  </si>
  <si>
    <t>ODD 80E</t>
  </si>
  <si>
    <t>DAVID URIBE</t>
  </si>
  <si>
    <t>RODAMIENTOS TRSEROS Y DELANTERO</t>
  </si>
  <si>
    <t>BOMBILLO H7</t>
  </si>
  <si>
    <t>CAMBIAR TORNILLO DE MANUBRIO</t>
  </si>
  <si>
    <t>PULSAR NS</t>
  </si>
  <si>
    <t>VEA 35F</t>
  </si>
  <si>
    <t>AJUSTAR CUNAS</t>
  </si>
  <si>
    <t>GIA 73E</t>
  </si>
  <si>
    <t>DANIEL VARGAS</t>
  </si>
  <si>
    <t>PGE 30F</t>
  </si>
  <si>
    <t>DAVID SANABRIA</t>
  </si>
  <si>
    <t>CAMBIO DE FILTROS</t>
  </si>
  <si>
    <t>PESA DERECHA</t>
  </si>
  <si>
    <t>REVISION LIQUIDO DE FRENOS</t>
  </si>
  <si>
    <t>REVISAR LLANTAS</t>
  </si>
  <si>
    <t>LCF 51F</t>
  </si>
  <si>
    <t>JHON ERAZO</t>
  </si>
  <si>
    <t>MANO DE OBRA ACEITE</t>
  </si>
  <si>
    <t>CYU 02F</t>
  </si>
  <si>
    <t>FZ 8</t>
  </si>
  <si>
    <t>USA 25C</t>
  </si>
  <si>
    <t>LUBRICACION DE CLUTCH</t>
  </si>
  <si>
    <t>MT 07</t>
  </si>
  <si>
    <t>IYS 07C</t>
  </si>
  <si>
    <t xml:space="preserve">FELIPE </t>
  </si>
  <si>
    <t>MANTENIMIENTO GUAYA DE CLUTCH</t>
  </si>
  <si>
    <t>OGA 46C</t>
  </si>
  <si>
    <t>WILLIAM ROJAS</t>
  </si>
  <si>
    <t>MANO DE OBRA RADIOS</t>
  </si>
  <si>
    <t>PINTURA TAPAS LATERALES</t>
  </si>
  <si>
    <t>PINTURA TAPA RESERVORIO TRASERO</t>
  </si>
  <si>
    <t>PRLAR RINE</t>
  </si>
  <si>
    <t>CINCADO DE RADIOS</t>
  </si>
  <si>
    <t>OHX 01D</t>
  </si>
  <si>
    <t>BATERIA</t>
  </si>
  <si>
    <t>MANO DE OBRA BARRA</t>
  </si>
  <si>
    <t>MANTENIMIENTO DE TRANSMISION</t>
  </si>
  <si>
    <t>PHJ 89G</t>
  </si>
  <si>
    <t>COZ 16C</t>
  </si>
  <si>
    <t>CORONEL FERNANDO RUIZ</t>
  </si>
  <si>
    <t>SALDO ANTERIOR</t>
  </si>
  <si>
    <t>CAMBIO DE ACEITE Y FILTRO</t>
  </si>
  <si>
    <t>YBX 99F</t>
  </si>
  <si>
    <t>HUNK 160</t>
  </si>
  <si>
    <t>ARREGLO POSAPIE Y DEFENSA</t>
  </si>
  <si>
    <t>BOMBA DE FRENO</t>
  </si>
  <si>
    <t>CAMBIO DE ACEITE ENI 10W 30</t>
  </si>
  <si>
    <t>ARREGLO EXOSTO Y TAPA</t>
  </si>
  <si>
    <t>ODB 97E</t>
  </si>
  <si>
    <t>ER6F 650R</t>
  </si>
  <si>
    <t>GRH 67C</t>
  </si>
  <si>
    <t>BMW 650</t>
  </si>
  <si>
    <t>OPG 05C</t>
  </si>
  <si>
    <t>MARIO FLOYD</t>
  </si>
  <si>
    <t>ANGEL GACHARNA</t>
  </si>
  <si>
    <t>VICTOR ALFONSO GONZALES</t>
  </si>
  <si>
    <t>JTS 73D</t>
  </si>
  <si>
    <t>RAFAEL TELLEZ</t>
  </si>
  <si>
    <t>ODD 88E</t>
  </si>
  <si>
    <t>LEONARDO ALARCON</t>
  </si>
  <si>
    <t>DOCTOR</t>
  </si>
  <si>
    <t>JULIAN FRANCO</t>
  </si>
  <si>
    <t>PERITAJE</t>
  </si>
  <si>
    <t>UHC 96D</t>
  </si>
  <si>
    <t>ALEJANDRO GALVIS</t>
  </si>
  <si>
    <t>MKE 22F</t>
  </si>
  <si>
    <t>JOHAN</t>
  </si>
  <si>
    <t>TJM 80C</t>
  </si>
  <si>
    <t>MIGUEL ARIAS</t>
  </si>
  <si>
    <t>ARREGLO DE RIN</t>
  </si>
  <si>
    <t>OET 69D</t>
  </si>
  <si>
    <t>ANDRES FELIPE</t>
  </si>
  <si>
    <t>MANTENIMIENTO FILTRO KYN</t>
  </si>
  <si>
    <t>FUGA CKP</t>
  </si>
  <si>
    <t>CAMBIO DE HAND SAVERS</t>
  </si>
  <si>
    <t>KLX 150</t>
  </si>
  <si>
    <t>HTM 08E</t>
  </si>
  <si>
    <t>JOHN FREDY ARIZA</t>
  </si>
  <si>
    <t>CAQMBIO DISCOS DE CLUTCH</t>
  </si>
  <si>
    <t>TAPAS PRENSA</t>
  </si>
  <si>
    <t>FZ 16</t>
  </si>
  <si>
    <t>RJE 96E</t>
  </si>
  <si>
    <t>JOSUE CIERRA</t>
  </si>
  <si>
    <t xml:space="preserve">CADENILLA </t>
  </si>
  <si>
    <t>DISCOS</t>
  </si>
  <si>
    <t>SELLOS</t>
  </si>
  <si>
    <t>MANO DE OBRA MOTOR</t>
  </si>
  <si>
    <t>MANO DE OBRA CLUTCH</t>
  </si>
  <si>
    <t>SEPARADORES</t>
  </si>
  <si>
    <t>ONB 05B</t>
  </si>
  <si>
    <t>JORGE DIAZ</t>
  </si>
  <si>
    <t>EXTRACCION DE TORNILLO</t>
  </si>
  <si>
    <t>LAY 15G</t>
  </si>
  <si>
    <t>JULIAN</t>
  </si>
  <si>
    <t>BENELLI 502</t>
  </si>
  <si>
    <t>CUP 36G</t>
  </si>
  <si>
    <t>JUAN DAVID SILVA</t>
  </si>
  <si>
    <t>ARREGLO BASE MALETERO</t>
  </si>
  <si>
    <t>CAMBIO DE CADENA</t>
  </si>
  <si>
    <t>EPT 63F</t>
  </si>
  <si>
    <t>JHON SANCHEZ</t>
  </si>
  <si>
    <t>MGM 42C</t>
  </si>
  <si>
    <t>MORADO</t>
  </si>
  <si>
    <t>DAVID CAMARAS</t>
  </si>
  <si>
    <t>ARREGLO DE RADIADOR</t>
  </si>
  <si>
    <t>VARILLA DE CLUTCH</t>
  </si>
  <si>
    <t>RETEN VARILLA DE CLUTCH</t>
  </si>
  <si>
    <t>SALDO A FAAVOR</t>
  </si>
  <si>
    <t xml:space="preserve">CRF </t>
  </si>
  <si>
    <t>ODD 88G</t>
  </si>
  <si>
    <t>VICTOR MEDINA</t>
  </si>
  <si>
    <t>TENSION Y LUBRICACION DE CADENA</t>
  </si>
  <si>
    <t>AJUSTE DE PLACA Y TORNILLO</t>
  </si>
  <si>
    <t>VNI 10F</t>
  </si>
  <si>
    <t>SARGENTO</t>
  </si>
  <si>
    <t>QUS 67B</t>
  </si>
  <si>
    <t>MAYOR DURAN</t>
  </si>
  <si>
    <t>AJUSTE DISCOS DE FRENO</t>
  </si>
  <si>
    <t>DIRECCIONAL DRECHA DELANTERA</t>
  </si>
  <si>
    <t>CAMBIO DE LLANTA DELANTER</t>
  </si>
  <si>
    <t>AWR 37E</t>
  </si>
  <si>
    <t xml:space="preserve">STIVENSON </t>
  </si>
  <si>
    <t>PINTURA DE TANQUE</t>
  </si>
  <si>
    <t>MANTENIMINETO Y RETEN DE CLUTCH</t>
  </si>
  <si>
    <t>JUAN JOSE FIERRO</t>
  </si>
  <si>
    <t>CADENILLA Y MANO DE OBRA</t>
  </si>
  <si>
    <t>LLANTA Y ARREGLO BOBINA</t>
  </si>
  <si>
    <t>NVD 36E</t>
  </si>
  <si>
    <t>MARIO CARBONELL</t>
  </si>
  <si>
    <t>INSTALACION CAMARAS</t>
  </si>
  <si>
    <t>CAMBIO DILTRO DE AIRE</t>
  </si>
  <si>
    <t>GERMAN GARCIA</t>
  </si>
  <si>
    <t>IGK 76G</t>
  </si>
  <si>
    <t>SEBASTIAN GOMEZ</t>
  </si>
  <si>
    <t>UGP 85D</t>
  </si>
  <si>
    <t>WILLIAM HUERTAS</t>
  </si>
  <si>
    <t>HONDA 500</t>
  </si>
  <si>
    <t>BILLY SILVA</t>
  </si>
  <si>
    <t>ARREGLO RIN DELANTERO</t>
  </si>
  <si>
    <t>CAMBIO LIQUIDO DE FRENOS</t>
  </si>
  <si>
    <t>GPG 32G</t>
  </si>
  <si>
    <t>PINTURA TAPA DE EXOSTO</t>
  </si>
  <si>
    <t>NOQ 12D</t>
  </si>
  <si>
    <t>CRISTIAN CASTRO</t>
  </si>
  <si>
    <t>BANDAS TRASERAS</t>
  </si>
  <si>
    <t>RESORTE DE CRAN</t>
  </si>
  <si>
    <t>PINTURA E INSTALACION DE TAPAS DE EXOSTO</t>
  </si>
  <si>
    <t>FABIAN BELTRAN</t>
  </si>
  <si>
    <t>MANTENIMIENTO BOMBA DE CLUTCH</t>
  </si>
  <si>
    <t>MANTENIMIENTO SUSPENSION TRASERA</t>
  </si>
  <si>
    <t>HARLEY</t>
  </si>
  <si>
    <t>OCT 64E</t>
  </si>
  <si>
    <t>JUAN AYALA</t>
  </si>
  <si>
    <t>OBF 89E</t>
  </si>
  <si>
    <t>CARLOS GARCIA</t>
  </si>
  <si>
    <t>QFV 82F</t>
  </si>
  <si>
    <t>CESAR CASTRO</t>
  </si>
  <si>
    <t>IMPRONTAS</t>
  </si>
  <si>
    <t>INSTALACION DE CALEFACTORE</t>
  </si>
  <si>
    <t xml:space="preserve">DAVID NOS DEBE </t>
  </si>
  <si>
    <t>XDO 01G</t>
  </si>
  <si>
    <t>CAMBIO DE ACEITE ENI 10W50</t>
  </si>
  <si>
    <t>CAMBIO DE INTERRUPTORES</t>
  </si>
  <si>
    <t>JUAN HARVEY CARDO</t>
  </si>
  <si>
    <t>SISTEMA DE CLUTCH</t>
  </si>
  <si>
    <t>LIMPIEZA DE EXPLORADORA</t>
  </si>
  <si>
    <t>TENERE 250</t>
  </si>
  <si>
    <t>IQH 92D</t>
  </si>
  <si>
    <t>NICOLAS VARGAS</t>
  </si>
  <si>
    <t>FUGA DE ACEITE</t>
  </si>
  <si>
    <t>ARREGLO PEDAL DE FRENO</t>
  </si>
  <si>
    <t>PERA FRENO DELANTERO</t>
  </si>
  <si>
    <t xml:space="preserve">BOXER </t>
  </si>
  <si>
    <t>SNB 34D</t>
  </si>
  <si>
    <t xml:space="preserve">ALEJANDRO </t>
  </si>
  <si>
    <t>EMPAQUETADURA MEDIA</t>
  </si>
  <si>
    <t>VALVULAS</t>
  </si>
  <si>
    <t>BALANCINES</t>
  </si>
  <si>
    <t>GUAYA DE FRENO</t>
  </si>
  <si>
    <t>MANOD E OBRA RODAMIENTOS</t>
  </si>
  <si>
    <t>MANTENIMIENTO FRENO DELANTERO</t>
  </si>
  <si>
    <t>GUIAS</t>
  </si>
  <si>
    <t>TENSION FRENO TRASERO</t>
  </si>
  <si>
    <t>CUADRAR CLUTCH</t>
  </si>
  <si>
    <t>UHY 48D</t>
  </si>
  <si>
    <t>GRIS OSCURO</t>
  </si>
  <si>
    <t>CRONIK AVILA</t>
  </si>
  <si>
    <t>PINTURA GENERAL</t>
  </si>
  <si>
    <t>INSTALACION DE CALEFACTORES</t>
  </si>
  <si>
    <t>BRILLO DE EXOSTO</t>
  </si>
  <si>
    <t>TAPIZADO DE SILLAS</t>
  </si>
  <si>
    <t>BMW R 1200</t>
  </si>
  <si>
    <t>NQM 85D</t>
  </si>
  <si>
    <t>DANIEL CARRILLO</t>
  </si>
  <si>
    <t>800 CC DE ACEITE</t>
  </si>
  <si>
    <t>VSTROM 1050</t>
  </si>
  <si>
    <t>YTX 10F</t>
  </si>
  <si>
    <t>MANTENIMIENTO DE BARRA DERECHA</t>
  </si>
  <si>
    <t>MEDIAS</t>
  </si>
  <si>
    <t>YMP 63D</t>
  </si>
  <si>
    <t>ALVARO PLAZAS</t>
  </si>
  <si>
    <t>SINCRNIZACION</t>
  </si>
  <si>
    <t>3 BOBINAS</t>
  </si>
  <si>
    <t>APACHE 180</t>
  </si>
  <si>
    <t>NNJ 30E</t>
  </si>
  <si>
    <t>SENTADA DE VALVULA</t>
  </si>
  <si>
    <t xml:space="preserve">FAZER </t>
  </si>
  <si>
    <t>CCX 60B</t>
  </si>
  <si>
    <t>ESTEBAN LEON</t>
  </si>
  <si>
    <t>ARREGLO DE RADIADORR</t>
  </si>
  <si>
    <t>PINTURA DE RIN</t>
  </si>
  <si>
    <t>CAMBIO DE ACEITE MOTUL 7100</t>
  </si>
  <si>
    <t>BARRA DERECHA</t>
  </si>
  <si>
    <t>PASTILLAS TRADERAS</t>
  </si>
  <si>
    <t>REFIGERANTE</t>
  </si>
  <si>
    <t>REVISION DE FUGA</t>
  </si>
  <si>
    <t>CAUCHO DE TIJERA</t>
  </si>
  <si>
    <t>CAROLINA FUENTES</t>
  </si>
  <si>
    <t xml:space="preserve">RTK </t>
  </si>
  <si>
    <t>PLZ 96E</t>
  </si>
  <si>
    <t>ALINTON SIERRA</t>
  </si>
  <si>
    <t>REVISION</t>
  </si>
  <si>
    <t>JESUS MELO</t>
  </si>
  <si>
    <t>ARREGLO Y AJUSTE DE EXOSTO</t>
  </si>
  <si>
    <t>ARREGLO DE TABLERO</t>
  </si>
  <si>
    <t>LUBRICACION DE CADENA</t>
  </si>
  <si>
    <t>PCV 76F</t>
  </si>
  <si>
    <t>NICOLAS</t>
  </si>
  <si>
    <t>REVISION DE PALANCA DE CAMBIOS</t>
  </si>
  <si>
    <t>TORNILLO TAPA IZQUIERDA</t>
  </si>
  <si>
    <t>ARREGLO SENSOR</t>
  </si>
  <si>
    <t xml:space="preserve"> NS 200</t>
  </si>
  <si>
    <t>IRN 98F</t>
  </si>
  <si>
    <t>SEBASTIAN RODRIGUEZ</t>
  </si>
  <si>
    <t>EJES DE LEVAS</t>
  </si>
  <si>
    <t>YDH 74D</t>
  </si>
  <si>
    <t>CESAR ARANGUEN</t>
  </si>
  <si>
    <t>DOS RADIOS TRASEROS</t>
  </si>
  <si>
    <t xml:space="preserve">DUCATI </t>
  </si>
  <si>
    <t>QUN 50E</t>
  </si>
  <si>
    <t>MAURICIO OCAMPO</t>
  </si>
  <si>
    <t>ARREGLO DE STOP</t>
  </si>
  <si>
    <t>ENSAMBLE AMORTIGUADOR</t>
  </si>
  <si>
    <t>ARREGLO PARRILLA</t>
  </si>
  <si>
    <t>SOPORTE GATO CENTRAL</t>
  </si>
  <si>
    <t>AXL 47D</t>
  </si>
  <si>
    <t>ALEJANDRO ALVAREZ</t>
  </si>
  <si>
    <t>BUJES DE TIJERA</t>
  </si>
  <si>
    <t>TAPIZADO SILLA</t>
  </si>
  <si>
    <t>CANASTILLAS TIJERAS</t>
  </si>
  <si>
    <t>EXTRACCION DE BUJES</t>
  </si>
  <si>
    <t>OVA 88C</t>
  </si>
  <si>
    <t>MRF 44F</t>
  </si>
  <si>
    <t>LINCON VELAZCO</t>
  </si>
  <si>
    <t>MANO DE OBRA REPARACION PARCIAL</t>
  </si>
  <si>
    <t>TENSOR DE CADENILLA</t>
  </si>
  <si>
    <t>RESORTES DE CONTRABALANCEADOR</t>
  </si>
  <si>
    <t>RODAMIENTOS EJE DE LEVAS</t>
  </si>
  <si>
    <t>KIT DE PRENSA Y ANILLOS</t>
  </si>
  <si>
    <t>DELIZADORES DE CADENILLA</t>
  </si>
  <si>
    <t>ACEITE DE MOTOR</t>
  </si>
  <si>
    <t>NND 97F</t>
  </si>
  <si>
    <t>YDH 71C</t>
  </si>
  <si>
    <t>MANO DE OBRA BOBINA</t>
  </si>
  <si>
    <t>JAQ 68D</t>
  </si>
  <si>
    <t>SEÑOR VALENCIA</t>
  </si>
  <si>
    <t>MANTENIMIENTO DE ACELERADOR</t>
  </si>
  <si>
    <t>CAMBIO BUJES DE MANUBRIO</t>
  </si>
  <si>
    <t>OCH 92E</t>
  </si>
  <si>
    <t>JUAN CARLOS</t>
  </si>
  <si>
    <t>CAMBIO CORONA</t>
  </si>
  <si>
    <t>MANTENIMIENTO Y CORRECCION DE CARDAN</t>
  </si>
  <si>
    <t>WUP 78C</t>
  </si>
  <si>
    <t>MANUEL</t>
  </si>
  <si>
    <t>CAMBIO DE AMORTIGUADOR</t>
  </si>
  <si>
    <t>RES 82C</t>
  </si>
  <si>
    <t>MIGUELITO</t>
  </si>
  <si>
    <t>CAMBIO DE PRENSA COMPLETA</t>
  </si>
  <si>
    <t>MANIGUETA DE CLUTCH</t>
  </si>
  <si>
    <t>ACEITE SEMI</t>
  </si>
  <si>
    <t>FLW 89C</t>
  </si>
  <si>
    <t>DARIO</t>
  </si>
  <si>
    <t>MALETERO</t>
  </si>
  <si>
    <t>LLAVE Y PROGRAMACION</t>
  </si>
  <si>
    <t>BX9 32C</t>
  </si>
  <si>
    <t>ARREGLO TABLERO</t>
  </si>
  <si>
    <t>MANO DE OBRA TABLERO</t>
  </si>
  <si>
    <t>BOMBILLO LED</t>
  </si>
  <si>
    <t xml:space="preserve">ARREGLO TAPA EXOSTO </t>
  </si>
  <si>
    <t>FJN 63E</t>
  </si>
  <si>
    <t>ALINO QUINTERO</t>
  </si>
  <si>
    <t>CAUCHOS PORTAPLATO</t>
  </si>
  <si>
    <t>BOMBILLO FAROLA</t>
  </si>
  <si>
    <t>MANO DE OBRA BARRA IZQUIERDA</t>
  </si>
  <si>
    <t>MULETA</t>
  </si>
  <si>
    <t>TAPA DE ACEITE</t>
  </si>
  <si>
    <t>EMPAQUE Y MANTENIMIENTO DE CLUTCH</t>
  </si>
  <si>
    <t>ARREGLO DE DEFENSA</t>
  </si>
  <si>
    <t>RECTIFICACION ROSCA</t>
  </si>
  <si>
    <t>TORNILLO</t>
  </si>
  <si>
    <t>NKN 59D</t>
  </si>
  <si>
    <t>ARREGLO ESPEJO</t>
  </si>
  <si>
    <t>TAF 55D</t>
  </si>
  <si>
    <t>ARTURO LUQUE</t>
  </si>
  <si>
    <t>TOU 89E</t>
  </si>
  <si>
    <t xml:space="preserve">ROJO </t>
  </si>
  <si>
    <t>JUAN SAVOGAL</t>
  </si>
  <si>
    <t>REOBINAR CORONA</t>
  </si>
  <si>
    <t>SENSOR ABS</t>
  </si>
  <si>
    <t>INSTALACION SENSOR</t>
  </si>
  <si>
    <t>PASTILLAS TRASERAS Y DELANTERA</t>
  </si>
  <si>
    <t>JOHAN AREVALO</t>
  </si>
  <si>
    <t>04 04 24</t>
  </si>
  <si>
    <t>FINO</t>
  </si>
  <si>
    <t>JOL 58D</t>
  </si>
  <si>
    <t>GINA</t>
  </si>
  <si>
    <t>POSAPIES</t>
  </si>
  <si>
    <t>PINTURA DE MANIJAS</t>
  </si>
  <si>
    <t>TAPIZADO DE SILLA</t>
  </si>
  <si>
    <t>PINTURA DE GUARDABARRO DELANTERO</t>
  </si>
  <si>
    <t>ESPEJOS</t>
  </si>
  <si>
    <t>ARREGLO DE EXOSTO</t>
  </si>
  <si>
    <t>SUPERTENERE</t>
  </si>
  <si>
    <t xml:space="preserve">AMARILLO </t>
  </si>
  <si>
    <t>ARREGLO DE AMORTIGUADOR</t>
  </si>
  <si>
    <t xml:space="preserve">MANO DE OBRA SUSPENSIÓN DELANTERA </t>
  </si>
  <si>
    <t xml:space="preserve">ACEITE HIDRÁULICO </t>
  </si>
  <si>
    <t xml:space="preserve">TOTAL: </t>
  </si>
  <si>
    <t>MNA 66C</t>
  </si>
  <si>
    <t>JUAN LOPEZ</t>
  </si>
  <si>
    <t>FUGA DE ACEITE CKP</t>
  </si>
  <si>
    <t>EMPAQUETADURA DE CLUTCH</t>
  </si>
  <si>
    <t>CALCOMANIAS TANQUE Y TAPAS</t>
  </si>
  <si>
    <t>ARREGLO DEFENSA</t>
  </si>
  <si>
    <t>TAPA ZE</t>
  </si>
  <si>
    <t>TOTAL LLAVE</t>
  </si>
  <si>
    <t>EXOSTO</t>
  </si>
  <si>
    <t>NGQ 40C</t>
  </si>
  <si>
    <t>DUKE</t>
  </si>
  <si>
    <t>OHW 74F</t>
  </si>
  <si>
    <t>IVAN MOLANO</t>
  </si>
  <si>
    <t>REVISAR DISCOS</t>
  </si>
  <si>
    <t>ARREGLO TAPA</t>
  </si>
  <si>
    <t>REVISION DE RODAMIENTOS</t>
  </si>
  <si>
    <t>ARREGLO POSAPIE TRASERO</t>
  </si>
  <si>
    <t>EDGAR MURILLO</t>
  </si>
  <si>
    <t>MANO DE OBRA CADENILLA</t>
  </si>
  <si>
    <t>CZX 51C</t>
  </si>
  <si>
    <t>VERDE MILITAR</t>
  </si>
  <si>
    <t>MARIO SAAVEDRA</t>
  </si>
  <si>
    <t>800CC DE ACEITE</t>
  </si>
  <si>
    <t>MANTENTENIMIENTO Y RETEN DE CLUTCH</t>
  </si>
  <si>
    <t>ABRAZADERA DE GUARDABARRO</t>
  </si>
  <si>
    <t>SUPER TENERE 750</t>
  </si>
  <si>
    <t>LOE 12A</t>
  </si>
  <si>
    <t>FABIAN AREVALO</t>
  </si>
  <si>
    <t>ACOMODAR LUZ DE FAROLA</t>
  </si>
  <si>
    <t>REVISION FRENO TRASERO</t>
  </si>
  <si>
    <t>CABLES DE SWITCH</t>
  </si>
  <si>
    <t>CAMBIO GUAYA DE CLUTCH</t>
  </si>
  <si>
    <t xml:space="preserve">XTZ </t>
  </si>
  <si>
    <t>SQQ 01E</t>
  </si>
  <si>
    <t>GERMAN</t>
  </si>
  <si>
    <t>CAMBIAR BUJIA</t>
  </si>
  <si>
    <t>CAMBIAR VALVULAS</t>
  </si>
  <si>
    <t>AJUSTE DE EXPLORADORAS</t>
  </si>
  <si>
    <t>ARREGLO DE CLTCH</t>
  </si>
  <si>
    <t>ARREGLO TAPA EXOSTO</t>
  </si>
  <si>
    <t>REVISAR PRESION LANTA TRAS</t>
  </si>
  <si>
    <t>INSPECCION GENERAL</t>
  </si>
  <si>
    <t>BMW 700</t>
  </si>
  <si>
    <t>OCZ 51E</t>
  </si>
  <si>
    <t>FABIAN SANCHEZ</t>
  </si>
  <si>
    <t>DIAGNOSTICAR</t>
  </si>
  <si>
    <t>BOBINA O ANTENA</t>
  </si>
  <si>
    <t>CBR 250R</t>
  </si>
  <si>
    <t>WILLIAM FLOREZ</t>
  </si>
  <si>
    <t>ARREGLAR ROSCA MORDAZA</t>
  </si>
  <si>
    <t>OIL 30D</t>
  </si>
  <si>
    <t>DAVID GALLEGO</t>
  </si>
  <si>
    <t>TAPITA COLA BLANCA</t>
  </si>
  <si>
    <t>TAPIZADO</t>
  </si>
  <si>
    <t>CAMBIO DE ACEIT</t>
  </si>
  <si>
    <t>KLA 50E</t>
  </si>
  <si>
    <t>JOSE LUIS MUÑOZ</t>
  </si>
  <si>
    <t>CAMBIO EJE DE ARRASTRE</t>
  </si>
  <si>
    <t>FRG 52G</t>
  </si>
  <si>
    <t>CONEXIÓN EXPLORADORAS</t>
  </si>
  <si>
    <t>LLANTA DEL</t>
  </si>
  <si>
    <t>ARREGLO BASE MULETA</t>
  </si>
  <si>
    <t>REVISAR LIQUIDO DE FRRENOS</t>
  </si>
  <si>
    <t>QUITAR BASE DE EXPLORADORAS</t>
  </si>
  <si>
    <t>NKD</t>
  </si>
  <si>
    <t>ODY 90G</t>
  </si>
  <si>
    <t>JOHAN PRIETO</t>
  </si>
  <si>
    <t xml:space="preserve">JJH 97D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</si>
</sst>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11">
    <xf numFmtId="0" fontId="0" fillId="0" borderId="0" xfId="0"/>
    <xf numFmtId="0" fontId="2" fillId="2" borderId="1" xfId="0" applyFont="1" applyFill="1" applyBorder="1"/>
    <xf numFmtId="41" fontId="2" fillId="2" borderId="1" xfId="1" applyFont="1" applyFill="1" applyBorder="1"/>
    <xf numFmtId="14" fontId="0" fillId="0" borderId="0" xfId="0" applyNumberFormat="1"/>
    <xf numFmtId="41" fontId="0" fillId="0" borderId="0" xfId="1" applyFont="1"/>
    <xf numFmtId="3" fontId="0" fillId="0" borderId="0" xfId="0" applyNumberFormat="1"/>
    <xf numFmtId="0" fontId="2" fillId="2" borderId="2" xfId="0" applyFont="1" applyFill="1" applyBorder="1"/>
    <xf numFmtId="0" fontId="2" fillId="2" borderId="3" xfId="0" applyFont="1" applyFill="1" applyBorder="1"/>
    <xf numFmtId="3" fontId="3" fillId="0" borderId="0" xfId="0" applyNumberFormat="1" applyFont="1" applyBorder="1" applyAlignment="1">
      <alignment horizontal="right" vertical="center" wrapText="1"/>
    </xf>
    <xf numFmtId="41" fontId="2" fillId="2" borderId="1" xfId="1" applyFont="1" applyFill="1" applyBorder="1" applyAlignment="1">
      <alignment horizontal="left"/>
    </xf>
    <xf numFmtId="41" fontId="0" fillId="0" borderId="0" xfId="1" applyFont="1" applyAlignment="1">
      <alignment horizontal="left"/>
    </xf>
  </cellXfs>
  <cellStyles count="2">
    <cellStyle name="Millares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36"/>
  <sheetViews>
    <sheetView tabSelected="1" topLeftCell="A319" zoomScale="120" zoomScaleNormal="120" workbookViewId="0">
      <selection activeCell="G332" sqref="G332"/>
    </sheetView>
  </sheetViews>
  <sheetFormatPr baseColWidth="10" defaultRowHeight="15" x14ac:dyDescent="0.25"/>
  <cols>
    <col min="2" max="2" width="18.28515625" customWidth="1"/>
    <col min="4" max="4" width="15.42578125" customWidth="1"/>
    <col min="6" max="6" width="11.42578125" style="4"/>
    <col min="7" max="7" width="26.28515625" style="10" customWidth="1"/>
    <col min="8" max="8" width="46" customWidth="1"/>
    <col min="9" max="9" width="11.42578125" style="4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9" t="s">
        <v>40</v>
      </c>
      <c r="H1" s="1" t="s">
        <v>6</v>
      </c>
      <c r="I1" s="2" t="s">
        <v>7</v>
      </c>
      <c r="J1" s="1" t="s">
        <v>8</v>
      </c>
      <c r="K1" s="1" t="s">
        <v>9</v>
      </c>
    </row>
    <row r="2" spans="1:11" x14ac:dyDescent="0.25">
      <c r="A2" s="3">
        <v>45295</v>
      </c>
      <c r="B2" t="s">
        <v>10</v>
      </c>
      <c r="C2" t="s">
        <v>11</v>
      </c>
      <c r="D2" t="s">
        <v>12</v>
      </c>
      <c r="F2" s="4">
        <v>19577</v>
      </c>
      <c r="G2" s="10" t="s">
        <v>41</v>
      </c>
      <c r="H2" t="s">
        <v>13</v>
      </c>
      <c r="I2" s="4">
        <v>140000</v>
      </c>
    </row>
    <row r="3" spans="1:11" x14ac:dyDescent="0.25">
      <c r="H3" t="s">
        <v>14</v>
      </c>
      <c r="I3" s="4">
        <v>192000</v>
      </c>
    </row>
    <row r="4" spans="1:11" x14ac:dyDescent="0.25">
      <c r="H4" t="s">
        <v>15</v>
      </c>
      <c r="I4" s="4">
        <v>46000</v>
      </c>
    </row>
    <row r="5" spans="1:11" x14ac:dyDescent="0.25">
      <c r="H5" t="s">
        <v>16</v>
      </c>
      <c r="I5" s="4">
        <v>30000</v>
      </c>
    </row>
    <row r="7" spans="1:11" x14ac:dyDescent="0.25">
      <c r="H7" t="s">
        <v>17</v>
      </c>
      <c r="I7" s="4">
        <f>SUM(I2:I6)</f>
        <v>408000</v>
      </c>
    </row>
    <row r="9" spans="1:11" x14ac:dyDescent="0.25">
      <c r="A9" s="1" t="s">
        <v>0</v>
      </c>
      <c r="B9" s="1" t="s">
        <v>1</v>
      </c>
      <c r="C9" s="1" t="s">
        <v>2</v>
      </c>
      <c r="D9" s="1" t="s">
        <v>3</v>
      </c>
      <c r="E9" s="1" t="s">
        <v>4</v>
      </c>
      <c r="F9" s="2" t="s">
        <v>5</v>
      </c>
      <c r="G9" s="9" t="s">
        <v>40</v>
      </c>
      <c r="H9" s="1" t="s">
        <v>6</v>
      </c>
      <c r="I9" s="2" t="s">
        <v>7</v>
      </c>
      <c r="J9" s="1" t="s">
        <v>8</v>
      </c>
      <c r="K9" s="1" t="s">
        <v>9</v>
      </c>
    </row>
    <row r="10" spans="1:11" x14ac:dyDescent="0.25">
      <c r="A10" s="3">
        <v>45295</v>
      </c>
      <c r="B10" t="s">
        <v>10</v>
      </c>
      <c r="C10" t="s">
        <v>18</v>
      </c>
      <c r="D10" t="s">
        <v>19</v>
      </c>
      <c r="F10" s="4">
        <v>123150</v>
      </c>
      <c r="G10" s="10" t="s">
        <v>42</v>
      </c>
      <c r="H10" t="s">
        <v>20</v>
      </c>
      <c r="I10" s="4">
        <v>140000</v>
      </c>
    </row>
    <row r="11" spans="1:11" x14ac:dyDescent="0.25">
      <c r="H11" t="s">
        <v>21</v>
      </c>
      <c r="I11" s="4">
        <v>45000</v>
      </c>
    </row>
    <row r="12" spans="1:11" x14ac:dyDescent="0.25">
      <c r="H12" t="s">
        <v>22</v>
      </c>
      <c r="I12" s="4">
        <v>140000</v>
      </c>
    </row>
    <row r="13" spans="1:11" x14ac:dyDescent="0.25">
      <c r="H13" t="s">
        <v>23</v>
      </c>
      <c r="I13" s="4">
        <v>60000</v>
      </c>
    </row>
    <row r="14" spans="1:11" x14ac:dyDescent="0.25">
      <c r="H14" t="s">
        <v>24</v>
      </c>
      <c r="I14" s="4">
        <v>28000</v>
      </c>
    </row>
    <row r="16" spans="1:11" x14ac:dyDescent="0.25">
      <c r="H16" t="s">
        <v>17</v>
      </c>
      <c r="I16" s="4">
        <f>SUM(I10:I15)</f>
        <v>413000</v>
      </c>
    </row>
    <row r="18" spans="1:11" x14ac:dyDescent="0.25">
      <c r="A18" s="1" t="s">
        <v>0</v>
      </c>
      <c r="B18" s="1" t="s">
        <v>1</v>
      </c>
      <c r="C18" s="1" t="s">
        <v>2</v>
      </c>
      <c r="D18" s="1" t="s">
        <v>3</v>
      </c>
      <c r="E18" s="1" t="s">
        <v>4</v>
      </c>
      <c r="F18" s="2" t="s">
        <v>5</v>
      </c>
      <c r="G18" s="9" t="s">
        <v>40</v>
      </c>
      <c r="H18" s="1" t="s">
        <v>6</v>
      </c>
      <c r="I18" s="2" t="s">
        <v>7</v>
      </c>
      <c r="J18" s="1" t="s">
        <v>8</v>
      </c>
      <c r="K18" s="1" t="s">
        <v>9</v>
      </c>
    </row>
    <row r="19" spans="1:11" x14ac:dyDescent="0.25">
      <c r="A19" s="3">
        <v>45306</v>
      </c>
      <c r="B19" t="s">
        <v>10</v>
      </c>
      <c r="C19" t="s">
        <v>25</v>
      </c>
      <c r="D19" t="s">
        <v>26</v>
      </c>
      <c r="F19" s="4">
        <v>91230</v>
      </c>
      <c r="H19" t="s">
        <v>20</v>
      </c>
      <c r="I19" s="4">
        <v>140000</v>
      </c>
    </row>
    <row r="20" spans="1:11" x14ac:dyDescent="0.25">
      <c r="H20" t="s">
        <v>27</v>
      </c>
      <c r="I20" s="4">
        <v>120000</v>
      </c>
    </row>
    <row r="22" spans="1:11" x14ac:dyDescent="0.25">
      <c r="H22" t="s">
        <v>28</v>
      </c>
      <c r="I22" s="4">
        <f>SUM(I19:I21)</f>
        <v>260000</v>
      </c>
    </row>
    <row r="24" spans="1:11" x14ac:dyDescent="0.25">
      <c r="A24" s="1" t="s">
        <v>0</v>
      </c>
      <c r="B24" s="1" t="s">
        <v>1</v>
      </c>
      <c r="C24" s="1" t="s">
        <v>2</v>
      </c>
      <c r="D24" s="1" t="s">
        <v>3</v>
      </c>
      <c r="E24" s="1" t="s">
        <v>4</v>
      </c>
      <c r="F24" s="2" t="s">
        <v>5</v>
      </c>
      <c r="G24" s="9" t="s">
        <v>40</v>
      </c>
      <c r="H24" s="1" t="s">
        <v>6</v>
      </c>
      <c r="I24" s="2" t="s">
        <v>7</v>
      </c>
      <c r="J24" s="1" t="s">
        <v>8</v>
      </c>
      <c r="K24" s="1" t="s">
        <v>9</v>
      </c>
    </row>
    <row r="25" spans="1:11" x14ac:dyDescent="0.25">
      <c r="A25" s="3">
        <v>45306</v>
      </c>
      <c r="B25" t="s">
        <v>442</v>
      </c>
      <c r="C25" t="s">
        <v>443</v>
      </c>
      <c r="D25" t="s">
        <v>26</v>
      </c>
      <c r="F25" s="4">
        <v>17470</v>
      </c>
      <c r="G25" s="10" t="s">
        <v>444</v>
      </c>
      <c r="H25" t="s">
        <v>445</v>
      </c>
      <c r="I25" s="4">
        <v>30000</v>
      </c>
    </row>
    <row r="26" spans="1:11" x14ac:dyDescent="0.25">
      <c r="H26" t="s">
        <v>446</v>
      </c>
      <c r="I26" s="4">
        <v>6000</v>
      </c>
    </row>
    <row r="27" spans="1:11" x14ac:dyDescent="0.25">
      <c r="H27" t="s">
        <v>33</v>
      </c>
      <c r="I27" s="4">
        <v>20000</v>
      </c>
    </row>
    <row r="28" spans="1:11" x14ac:dyDescent="0.25">
      <c r="H28" t="s">
        <v>447</v>
      </c>
      <c r="I28" s="4">
        <v>80000</v>
      </c>
    </row>
    <row r="29" spans="1:11" x14ac:dyDescent="0.25">
      <c r="H29" t="s">
        <v>448</v>
      </c>
      <c r="I29" s="4">
        <v>150000</v>
      </c>
    </row>
    <row r="30" spans="1:11" x14ac:dyDescent="0.25">
      <c r="H30" t="s">
        <v>449</v>
      </c>
      <c r="I30" s="4">
        <v>20000</v>
      </c>
    </row>
    <row r="32" spans="1:11" x14ac:dyDescent="0.25">
      <c r="H32" t="s">
        <v>17</v>
      </c>
      <c r="I32" s="4">
        <f>SUM(I25:I31)</f>
        <v>306000</v>
      </c>
    </row>
    <row r="34" spans="1:11" x14ac:dyDescent="0.25">
      <c r="A34" s="1" t="s">
        <v>0</v>
      </c>
      <c r="B34" s="1" t="s">
        <v>1</v>
      </c>
      <c r="C34" s="1" t="s">
        <v>2</v>
      </c>
      <c r="D34" s="1" t="s">
        <v>3</v>
      </c>
      <c r="E34" s="1" t="s">
        <v>4</v>
      </c>
      <c r="F34" s="2" t="s">
        <v>5</v>
      </c>
      <c r="G34" s="9" t="s">
        <v>40</v>
      </c>
      <c r="H34" s="1" t="s">
        <v>6</v>
      </c>
      <c r="I34" s="2" t="s">
        <v>7</v>
      </c>
      <c r="J34" s="1" t="s">
        <v>8</v>
      </c>
      <c r="K34" s="1" t="s">
        <v>9</v>
      </c>
    </row>
    <row r="35" spans="1:11" x14ac:dyDescent="0.25">
      <c r="A35" s="3">
        <v>45306</v>
      </c>
      <c r="B35" t="s">
        <v>10</v>
      </c>
      <c r="C35" t="s">
        <v>450</v>
      </c>
      <c r="D35" t="s">
        <v>12</v>
      </c>
      <c r="E35">
        <v>2010</v>
      </c>
      <c r="F35" s="4">
        <v>107324</v>
      </c>
      <c r="G35" s="10" t="s">
        <v>216</v>
      </c>
      <c r="H35" t="s">
        <v>451</v>
      </c>
      <c r="I35" s="4">
        <v>850000</v>
      </c>
    </row>
    <row r="36" spans="1:11" x14ac:dyDescent="0.25">
      <c r="H36" t="s">
        <v>33</v>
      </c>
      <c r="I36" s="4">
        <v>20000</v>
      </c>
    </row>
    <row r="37" spans="1:11" x14ac:dyDescent="0.25">
      <c r="H37" t="s">
        <v>39</v>
      </c>
      <c r="I37" s="4">
        <v>240000</v>
      </c>
    </row>
    <row r="38" spans="1:11" x14ac:dyDescent="0.25">
      <c r="H38" t="s">
        <v>452</v>
      </c>
      <c r="I38" s="4">
        <v>15000</v>
      </c>
    </row>
    <row r="39" spans="1:11" x14ac:dyDescent="0.25">
      <c r="H39" t="s">
        <v>453</v>
      </c>
      <c r="I39" s="4">
        <v>90000</v>
      </c>
    </row>
    <row r="40" spans="1:11" x14ac:dyDescent="0.25">
      <c r="H40" t="s">
        <v>454</v>
      </c>
    </row>
    <row r="41" spans="1:11" x14ac:dyDescent="0.25">
      <c r="H41" t="s">
        <v>455</v>
      </c>
      <c r="I41" s="4">
        <v>120000</v>
      </c>
    </row>
    <row r="43" spans="1:11" x14ac:dyDescent="0.25">
      <c r="H43" t="s">
        <v>17</v>
      </c>
      <c r="I43" s="4">
        <f>SUM(I35:I42)</f>
        <v>1335000</v>
      </c>
    </row>
    <row r="45" spans="1:11" x14ac:dyDescent="0.25">
      <c r="A45" s="1" t="s">
        <v>0</v>
      </c>
      <c r="B45" s="1" t="s">
        <v>1</v>
      </c>
      <c r="C45" s="1" t="s">
        <v>2</v>
      </c>
      <c r="D45" s="1" t="s">
        <v>3</v>
      </c>
      <c r="E45" s="1" t="s">
        <v>4</v>
      </c>
      <c r="F45" s="2" t="s">
        <v>5</v>
      </c>
      <c r="G45" s="9" t="s">
        <v>40</v>
      </c>
      <c r="H45" s="1" t="s">
        <v>6</v>
      </c>
      <c r="I45" s="2" t="s">
        <v>7</v>
      </c>
      <c r="J45" s="1" t="s">
        <v>8</v>
      </c>
      <c r="K45" s="1" t="s">
        <v>9</v>
      </c>
    </row>
    <row r="46" spans="1:11" x14ac:dyDescent="0.25">
      <c r="A46" s="3">
        <v>45307</v>
      </c>
      <c r="B46" t="s">
        <v>29</v>
      </c>
      <c r="C46" t="s">
        <v>30</v>
      </c>
      <c r="D46" t="s">
        <v>31</v>
      </c>
      <c r="E46">
        <v>2008</v>
      </c>
      <c r="F46" s="4">
        <v>132893</v>
      </c>
      <c r="G46" s="10" t="s">
        <v>43</v>
      </c>
      <c r="H46" t="s">
        <v>32</v>
      </c>
      <c r="I46" s="4">
        <v>450000</v>
      </c>
    </row>
    <row r="47" spans="1:11" x14ac:dyDescent="0.25">
      <c r="H47" t="s">
        <v>16</v>
      </c>
      <c r="I47" s="4">
        <v>350000</v>
      </c>
    </row>
    <row r="48" spans="1:11" x14ac:dyDescent="0.25">
      <c r="H48" t="s">
        <v>21</v>
      </c>
      <c r="I48" s="4">
        <v>80000</v>
      </c>
    </row>
    <row r="49" spans="1:11" x14ac:dyDescent="0.25">
      <c r="H49" t="s">
        <v>33</v>
      </c>
      <c r="I49" s="4">
        <v>20000</v>
      </c>
    </row>
    <row r="50" spans="1:11" x14ac:dyDescent="0.25">
      <c r="H50" t="s">
        <v>34</v>
      </c>
      <c r="I50" s="4">
        <v>21000</v>
      </c>
    </row>
    <row r="51" spans="1:11" x14ac:dyDescent="0.25">
      <c r="H51" t="s">
        <v>35</v>
      </c>
      <c r="I51" s="4">
        <v>60000</v>
      </c>
    </row>
    <row r="53" spans="1:11" x14ac:dyDescent="0.25">
      <c r="H53" t="s">
        <v>17</v>
      </c>
      <c r="I53" s="4">
        <f>SUM(I46:I52)</f>
        <v>981000</v>
      </c>
    </row>
    <row r="55" spans="1:11" x14ac:dyDescent="0.25">
      <c r="A55" s="1" t="s">
        <v>0</v>
      </c>
      <c r="B55" s="1" t="s">
        <v>1</v>
      </c>
      <c r="C55" s="1" t="s">
        <v>2</v>
      </c>
      <c r="D55" s="1" t="s">
        <v>3</v>
      </c>
      <c r="E55" s="1" t="s">
        <v>4</v>
      </c>
      <c r="F55" s="2" t="s">
        <v>5</v>
      </c>
      <c r="G55" s="9" t="s">
        <v>40</v>
      </c>
      <c r="H55" s="1" t="s">
        <v>6</v>
      </c>
      <c r="I55" s="2" t="s">
        <v>7</v>
      </c>
      <c r="J55" s="1" t="s">
        <v>8</v>
      </c>
      <c r="K55" s="1" t="s">
        <v>9</v>
      </c>
    </row>
    <row r="56" spans="1:11" x14ac:dyDescent="0.25">
      <c r="A56" s="3">
        <v>45308</v>
      </c>
      <c r="B56" t="s">
        <v>10</v>
      </c>
      <c r="C56" t="s">
        <v>36</v>
      </c>
      <c r="D56" t="s">
        <v>12</v>
      </c>
      <c r="F56" s="4">
        <v>23456</v>
      </c>
      <c r="G56" s="10" t="s">
        <v>44</v>
      </c>
      <c r="H56" t="s">
        <v>37</v>
      </c>
      <c r="I56" s="4">
        <v>295000</v>
      </c>
    </row>
    <row r="57" spans="1:11" x14ac:dyDescent="0.25">
      <c r="H57" t="s">
        <v>38</v>
      </c>
      <c r="I57" s="4">
        <v>150000</v>
      </c>
    </row>
    <row r="58" spans="1:11" x14ac:dyDescent="0.25">
      <c r="H58" t="s">
        <v>14</v>
      </c>
      <c r="I58" s="4">
        <v>208000</v>
      </c>
    </row>
    <row r="59" spans="1:11" x14ac:dyDescent="0.25">
      <c r="H59" t="s">
        <v>20</v>
      </c>
      <c r="I59" s="4">
        <v>140000</v>
      </c>
    </row>
    <row r="60" spans="1:11" x14ac:dyDescent="0.25">
      <c r="H60" t="s">
        <v>15</v>
      </c>
      <c r="I60" s="4">
        <v>46000</v>
      </c>
    </row>
    <row r="61" spans="1:11" x14ac:dyDescent="0.25">
      <c r="H61" t="s">
        <v>39</v>
      </c>
      <c r="I61" s="4">
        <v>160000</v>
      </c>
    </row>
    <row r="63" spans="1:11" x14ac:dyDescent="0.25">
      <c r="H63" t="s">
        <v>17</v>
      </c>
      <c r="I63" s="4">
        <f>SUM(I56:I62)</f>
        <v>999000</v>
      </c>
    </row>
    <row r="65" spans="1:11" x14ac:dyDescent="0.25">
      <c r="A65" s="1" t="s">
        <v>0</v>
      </c>
      <c r="B65" s="1" t="s">
        <v>1</v>
      </c>
      <c r="C65" s="1" t="s">
        <v>2</v>
      </c>
      <c r="D65" s="1" t="s">
        <v>3</v>
      </c>
      <c r="E65" s="1" t="s">
        <v>4</v>
      </c>
      <c r="F65" s="2" t="s">
        <v>5</v>
      </c>
      <c r="G65" s="9" t="s">
        <v>40</v>
      </c>
      <c r="H65" s="1" t="s">
        <v>6</v>
      </c>
      <c r="I65" s="2" t="s">
        <v>7</v>
      </c>
      <c r="J65" s="1" t="s">
        <v>8</v>
      </c>
      <c r="K65" s="1" t="s">
        <v>9</v>
      </c>
    </row>
    <row r="66" spans="1:11" x14ac:dyDescent="0.25">
      <c r="A66" s="3">
        <v>45308</v>
      </c>
      <c r="B66" t="s">
        <v>10</v>
      </c>
      <c r="C66" t="s">
        <v>45</v>
      </c>
      <c r="D66" t="s">
        <v>26</v>
      </c>
      <c r="E66">
        <v>2015</v>
      </c>
      <c r="F66" s="4">
        <v>69190</v>
      </c>
      <c r="G66" s="10" t="s">
        <v>46</v>
      </c>
      <c r="H66" t="s">
        <v>37</v>
      </c>
      <c r="I66" s="4">
        <v>295000</v>
      </c>
    </row>
    <row r="67" spans="1:11" x14ac:dyDescent="0.25">
      <c r="H67" t="s">
        <v>20</v>
      </c>
      <c r="I67" s="4">
        <v>140000</v>
      </c>
    </row>
    <row r="68" spans="1:11" x14ac:dyDescent="0.25">
      <c r="H68" t="s">
        <v>47</v>
      </c>
      <c r="I68" s="4">
        <v>260000</v>
      </c>
    </row>
    <row r="69" spans="1:11" x14ac:dyDescent="0.25">
      <c r="H69" t="s">
        <v>14</v>
      </c>
      <c r="I69" s="4">
        <v>336000</v>
      </c>
    </row>
    <row r="70" spans="1:11" x14ac:dyDescent="0.25">
      <c r="H70" t="s">
        <v>15</v>
      </c>
      <c r="I70" s="4">
        <v>46000</v>
      </c>
    </row>
    <row r="71" spans="1:11" x14ac:dyDescent="0.25">
      <c r="H71" t="s">
        <v>39</v>
      </c>
      <c r="I71" s="4">
        <v>300000</v>
      </c>
    </row>
    <row r="72" spans="1:11" x14ac:dyDescent="0.25">
      <c r="H72" t="s">
        <v>48</v>
      </c>
      <c r="I72" s="4">
        <v>120000</v>
      </c>
    </row>
    <row r="73" spans="1:11" x14ac:dyDescent="0.25">
      <c r="H73" t="s">
        <v>49</v>
      </c>
      <c r="I73" s="4">
        <v>220000</v>
      </c>
    </row>
    <row r="74" spans="1:11" x14ac:dyDescent="0.25">
      <c r="H74" t="s">
        <v>50</v>
      </c>
      <c r="I74" s="4">
        <v>105000</v>
      </c>
    </row>
    <row r="75" spans="1:11" x14ac:dyDescent="0.25">
      <c r="H75" t="s">
        <v>51</v>
      </c>
      <c r="I75" s="4">
        <v>90000</v>
      </c>
    </row>
    <row r="77" spans="1:11" x14ac:dyDescent="0.25">
      <c r="H77" t="s">
        <v>17</v>
      </c>
      <c r="I77" s="4">
        <f>SUM(I66:I76)</f>
        <v>1912000</v>
      </c>
    </row>
    <row r="79" spans="1:11" x14ac:dyDescent="0.25">
      <c r="A79" s="1" t="s">
        <v>0</v>
      </c>
      <c r="B79" s="1" t="s">
        <v>1</v>
      </c>
      <c r="C79" s="1" t="s">
        <v>2</v>
      </c>
      <c r="D79" s="1" t="s">
        <v>3</v>
      </c>
      <c r="E79" s="1" t="s">
        <v>4</v>
      </c>
      <c r="F79" s="2" t="s">
        <v>5</v>
      </c>
      <c r="G79" s="9" t="s">
        <v>40</v>
      </c>
      <c r="H79" s="1" t="s">
        <v>6</v>
      </c>
      <c r="I79" s="2" t="s">
        <v>7</v>
      </c>
      <c r="J79" s="1" t="s">
        <v>8</v>
      </c>
      <c r="K79" s="1" t="s">
        <v>9</v>
      </c>
    </row>
    <row r="80" spans="1:11" x14ac:dyDescent="0.25">
      <c r="A80" s="3">
        <v>45308</v>
      </c>
      <c r="B80" t="s">
        <v>10</v>
      </c>
      <c r="C80" t="s">
        <v>52</v>
      </c>
      <c r="D80" t="s">
        <v>12</v>
      </c>
      <c r="F80" s="4">
        <v>82946</v>
      </c>
      <c r="G80" s="10" t="s">
        <v>53</v>
      </c>
      <c r="H80" t="s">
        <v>54</v>
      </c>
      <c r="I80" s="4">
        <v>1500000</v>
      </c>
    </row>
    <row r="81" spans="1:11" x14ac:dyDescent="0.25">
      <c r="H81" t="s">
        <v>55</v>
      </c>
      <c r="I81" s="4">
        <v>380000</v>
      </c>
    </row>
    <row r="82" spans="1:11" x14ac:dyDescent="0.25">
      <c r="H82" t="s">
        <v>56</v>
      </c>
      <c r="I82" s="4">
        <v>350000</v>
      </c>
    </row>
    <row r="83" spans="1:11" x14ac:dyDescent="0.25">
      <c r="H83" t="s">
        <v>16</v>
      </c>
      <c r="I83" s="4">
        <v>150000</v>
      </c>
    </row>
    <row r="85" spans="1:11" x14ac:dyDescent="0.25">
      <c r="H85" t="s">
        <v>17</v>
      </c>
      <c r="I85" s="4">
        <f>SUM(I80:I84)</f>
        <v>2380000</v>
      </c>
    </row>
    <row r="87" spans="1:11" x14ac:dyDescent="0.25">
      <c r="A87" s="1" t="s">
        <v>0</v>
      </c>
      <c r="B87" s="1" t="s">
        <v>1</v>
      </c>
      <c r="C87" s="1" t="s">
        <v>2</v>
      </c>
      <c r="D87" s="1" t="s">
        <v>3</v>
      </c>
      <c r="E87" s="1" t="s">
        <v>4</v>
      </c>
      <c r="F87" s="2" t="s">
        <v>5</v>
      </c>
      <c r="G87" s="9" t="s">
        <v>40</v>
      </c>
      <c r="H87" s="1" t="s">
        <v>6</v>
      </c>
      <c r="I87" s="2" t="s">
        <v>7</v>
      </c>
      <c r="J87" s="1" t="s">
        <v>8</v>
      </c>
      <c r="K87" s="1" t="s">
        <v>9</v>
      </c>
    </row>
    <row r="88" spans="1:11" x14ac:dyDescent="0.25">
      <c r="A88" s="3">
        <v>45308</v>
      </c>
      <c r="B88" t="s">
        <v>10</v>
      </c>
      <c r="C88" t="s">
        <v>57</v>
      </c>
      <c r="D88" t="s">
        <v>26</v>
      </c>
      <c r="F88" s="4">
        <v>143952</v>
      </c>
      <c r="G88" s="10" t="s">
        <v>58</v>
      </c>
      <c r="H88" t="s">
        <v>59</v>
      </c>
      <c r="I88" s="4">
        <v>290000</v>
      </c>
    </row>
    <row r="89" spans="1:11" x14ac:dyDescent="0.25">
      <c r="H89" t="s">
        <v>47</v>
      </c>
      <c r="I89" s="4">
        <v>180000</v>
      </c>
    </row>
    <row r="90" spans="1:11" x14ac:dyDescent="0.25">
      <c r="H90" t="s">
        <v>20</v>
      </c>
      <c r="I90" s="4">
        <v>140000</v>
      </c>
    </row>
    <row r="91" spans="1:11" x14ac:dyDescent="0.25">
      <c r="H91" t="s">
        <v>60</v>
      </c>
      <c r="I91" s="4">
        <v>30000</v>
      </c>
    </row>
    <row r="92" spans="1:11" x14ac:dyDescent="0.25">
      <c r="H92" t="s">
        <v>50</v>
      </c>
      <c r="I92" s="4">
        <v>105000</v>
      </c>
    </row>
    <row r="93" spans="1:11" x14ac:dyDescent="0.25">
      <c r="H93" t="s">
        <v>15</v>
      </c>
      <c r="I93" s="4">
        <v>46000</v>
      </c>
    </row>
    <row r="94" spans="1:11" x14ac:dyDescent="0.25">
      <c r="H94" t="s">
        <v>61</v>
      </c>
      <c r="I94" s="4">
        <v>120000</v>
      </c>
    </row>
    <row r="95" spans="1:11" x14ac:dyDescent="0.25">
      <c r="H95" t="s">
        <v>14</v>
      </c>
    </row>
    <row r="96" spans="1:11" x14ac:dyDescent="0.25">
      <c r="H96" t="s">
        <v>56</v>
      </c>
      <c r="I96" s="4">
        <v>350000</v>
      </c>
    </row>
    <row r="98" spans="1:11" x14ac:dyDescent="0.25">
      <c r="H98" t="s">
        <v>17</v>
      </c>
      <c r="I98" s="4">
        <f>SUM(I88:I97)</f>
        <v>1261000</v>
      </c>
    </row>
    <row r="100" spans="1:11" x14ac:dyDescent="0.25">
      <c r="A100" s="1" t="s">
        <v>0</v>
      </c>
      <c r="B100" s="1" t="s">
        <v>1</v>
      </c>
      <c r="C100" s="1" t="s">
        <v>2</v>
      </c>
      <c r="D100" s="1" t="s">
        <v>3</v>
      </c>
      <c r="E100" s="1" t="s">
        <v>4</v>
      </c>
      <c r="F100" s="2" t="s">
        <v>5</v>
      </c>
      <c r="G100" s="9" t="s">
        <v>40</v>
      </c>
      <c r="H100" s="1" t="s">
        <v>6</v>
      </c>
      <c r="I100" s="2" t="s">
        <v>7</v>
      </c>
      <c r="J100" s="1" t="s">
        <v>8</v>
      </c>
      <c r="K100" s="1" t="s">
        <v>9</v>
      </c>
    </row>
    <row r="101" spans="1:11" x14ac:dyDescent="0.25">
      <c r="A101" s="3">
        <v>45308</v>
      </c>
      <c r="B101" t="s">
        <v>71</v>
      </c>
      <c r="C101" t="s">
        <v>72</v>
      </c>
      <c r="D101" t="s">
        <v>19</v>
      </c>
      <c r="E101">
        <v>2016</v>
      </c>
      <c r="F101" s="4">
        <v>81848</v>
      </c>
      <c r="G101" s="10" t="s">
        <v>80</v>
      </c>
      <c r="H101" t="s">
        <v>37</v>
      </c>
      <c r="I101" s="4">
        <v>250000</v>
      </c>
    </row>
    <row r="102" spans="1:11" x14ac:dyDescent="0.25">
      <c r="H102" t="s">
        <v>73</v>
      </c>
      <c r="I102" s="4">
        <v>156000</v>
      </c>
    </row>
    <row r="103" spans="1:11" x14ac:dyDescent="0.25">
      <c r="H103" t="s">
        <v>74</v>
      </c>
      <c r="I103" s="4">
        <v>80000</v>
      </c>
    </row>
    <row r="104" spans="1:11" x14ac:dyDescent="0.25">
      <c r="H104" t="s">
        <v>15</v>
      </c>
      <c r="I104" s="4">
        <v>46000</v>
      </c>
    </row>
    <row r="105" spans="1:11" x14ac:dyDescent="0.25">
      <c r="H105" t="s">
        <v>75</v>
      </c>
      <c r="I105" s="4">
        <v>40000</v>
      </c>
    </row>
    <row r="107" spans="1:11" x14ac:dyDescent="0.25">
      <c r="H107" t="s">
        <v>17</v>
      </c>
      <c r="I107" s="4">
        <f>SUM(I101:I106)</f>
        <v>572000</v>
      </c>
    </row>
    <row r="109" spans="1:11" x14ac:dyDescent="0.25">
      <c r="A109" s="1" t="s">
        <v>0</v>
      </c>
      <c r="B109" s="1" t="s">
        <v>1</v>
      </c>
      <c r="C109" s="1" t="s">
        <v>2</v>
      </c>
      <c r="D109" s="1" t="s">
        <v>3</v>
      </c>
      <c r="E109" s="1" t="s">
        <v>4</v>
      </c>
      <c r="F109" s="2" t="s">
        <v>5</v>
      </c>
      <c r="G109" s="9" t="s">
        <v>40</v>
      </c>
      <c r="H109" s="1" t="s">
        <v>6</v>
      </c>
      <c r="I109" s="2" t="s">
        <v>7</v>
      </c>
      <c r="J109" s="1" t="s">
        <v>8</v>
      </c>
      <c r="K109" s="1" t="s">
        <v>9</v>
      </c>
    </row>
    <row r="110" spans="1:11" x14ac:dyDescent="0.25">
      <c r="A110" s="3">
        <v>45309</v>
      </c>
      <c r="B110" t="s">
        <v>29</v>
      </c>
      <c r="C110" t="s">
        <v>456</v>
      </c>
      <c r="D110" t="s">
        <v>12</v>
      </c>
      <c r="G110" s="10" t="s">
        <v>457</v>
      </c>
      <c r="H110" t="s">
        <v>309</v>
      </c>
    </row>
    <row r="111" spans="1:11" x14ac:dyDescent="0.25">
      <c r="H111" t="s">
        <v>458</v>
      </c>
    </row>
    <row r="112" spans="1:11" x14ac:dyDescent="0.25">
      <c r="H112" t="s">
        <v>459</v>
      </c>
    </row>
    <row r="114" spans="1:11" x14ac:dyDescent="0.25">
      <c r="H114" t="s">
        <v>17</v>
      </c>
    </row>
    <row r="116" spans="1:11" x14ac:dyDescent="0.25">
      <c r="A116" s="1" t="s">
        <v>0</v>
      </c>
      <c r="B116" s="1" t="s">
        <v>1</v>
      </c>
      <c r="C116" s="1" t="s">
        <v>2</v>
      </c>
      <c r="D116" s="1" t="s">
        <v>3</v>
      </c>
      <c r="E116" s="1" t="s">
        <v>4</v>
      </c>
      <c r="F116" s="2" t="s">
        <v>5</v>
      </c>
      <c r="G116" s="9" t="s">
        <v>40</v>
      </c>
      <c r="H116" s="1" t="s">
        <v>6</v>
      </c>
      <c r="I116" s="2" t="s">
        <v>7</v>
      </c>
      <c r="J116" s="1" t="s">
        <v>8</v>
      </c>
      <c r="K116" s="1" t="s">
        <v>9</v>
      </c>
    </row>
    <row r="117" spans="1:11" x14ac:dyDescent="0.25">
      <c r="A117" s="3">
        <v>45309</v>
      </c>
      <c r="B117" t="s">
        <v>62</v>
      </c>
      <c r="C117" t="s">
        <v>63</v>
      </c>
      <c r="D117" t="s">
        <v>12</v>
      </c>
      <c r="F117" s="4">
        <v>43031</v>
      </c>
      <c r="G117" s="10" t="s">
        <v>64</v>
      </c>
      <c r="H117" t="s">
        <v>59</v>
      </c>
      <c r="I117" s="4">
        <v>250000</v>
      </c>
    </row>
    <row r="118" spans="1:11" x14ac:dyDescent="0.25">
      <c r="H118" t="s">
        <v>65</v>
      </c>
      <c r="I118" s="4">
        <v>70000</v>
      </c>
    </row>
    <row r="119" spans="1:11" x14ac:dyDescent="0.25">
      <c r="H119" t="s">
        <v>33</v>
      </c>
      <c r="I119" s="4">
        <v>20000</v>
      </c>
    </row>
    <row r="120" spans="1:11" x14ac:dyDescent="0.25">
      <c r="H120" t="s">
        <v>66</v>
      </c>
      <c r="I120" s="4">
        <v>18000</v>
      </c>
    </row>
    <row r="122" spans="1:11" x14ac:dyDescent="0.25">
      <c r="H122" t="s">
        <v>17</v>
      </c>
      <c r="I122" s="4">
        <f>SUM(I117:I121)</f>
        <v>358000</v>
      </c>
    </row>
    <row r="124" spans="1:11" x14ac:dyDescent="0.25">
      <c r="A124" s="1" t="s">
        <v>0</v>
      </c>
      <c r="B124" s="1" t="s">
        <v>1</v>
      </c>
      <c r="C124" s="1" t="s">
        <v>2</v>
      </c>
      <c r="D124" s="1" t="s">
        <v>3</v>
      </c>
      <c r="E124" s="1" t="s">
        <v>4</v>
      </c>
      <c r="F124" s="2" t="s">
        <v>5</v>
      </c>
      <c r="G124" s="9" t="s">
        <v>40</v>
      </c>
      <c r="H124" s="1" t="s">
        <v>6</v>
      </c>
      <c r="I124" s="2" t="s">
        <v>7</v>
      </c>
      <c r="J124" s="1" t="s">
        <v>8</v>
      </c>
      <c r="K124" s="1" t="s">
        <v>9</v>
      </c>
    </row>
    <row r="125" spans="1:11" x14ac:dyDescent="0.25">
      <c r="A125" s="3">
        <v>45309</v>
      </c>
      <c r="B125" t="s">
        <v>10</v>
      </c>
      <c r="G125" s="10" t="s">
        <v>67</v>
      </c>
      <c r="H125" t="s">
        <v>37</v>
      </c>
      <c r="I125" s="4">
        <v>295000</v>
      </c>
    </row>
    <row r="126" spans="1:11" x14ac:dyDescent="0.25">
      <c r="H126" t="s">
        <v>50</v>
      </c>
      <c r="I126" s="4">
        <v>105000</v>
      </c>
    </row>
    <row r="127" spans="1:11" x14ac:dyDescent="0.25">
      <c r="H127" t="s">
        <v>68</v>
      </c>
      <c r="I127" s="4">
        <v>45000</v>
      </c>
    </row>
    <row r="128" spans="1:11" x14ac:dyDescent="0.25">
      <c r="H128" t="s">
        <v>69</v>
      </c>
      <c r="I128" s="4">
        <v>1500000</v>
      </c>
    </row>
    <row r="129" spans="1:11" x14ac:dyDescent="0.25">
      <c r="H129" t="s">
        <v>70</v>
      </c>
      <c r="I129" s="4">
        <v>30000</v>
      </c>
    </row>
    <row r="131" spans="1:11" x14ac:dyDescent="0.25">
      <c r="H131" t="s">
        <v>17</v>
      </c>
      <c r="I131" s="4">
        <f>SUM(I125:I130)</f>
        <v>1975000</v>
      </c>
    </row>
    <row r="133" spans="1:11" x14ac:dyDescent="0.25">
      <c r="A133" s="1" t="s">
        <v>0</v>
      </c>
      <c r="B133" s="1" t="s">
        <v>1</v>
      </c>
      <c r="C133" s="1" t="s">
        <v>2</v>
      </c>
      <c r="D133" s="1" t="s">
        <v>3</v>
      </c>
      <c r="E133" s="1" t="s">
        <v>4</v>
      </c>
      <c r="F133" s="2" t="s">
        <v>5</v>
      </c>
      <c r="G133" s="9" t="s">
        <v>40</v>
      </c>
      <c r="H133" s="1" t="s">
        <v>6</v>
      </c>
      <c r="I133" s="2" t="s">
        <v>7</v>
      </c>
      <c r="J133" s="1" t="s">
        <v>8</v>
      </c>
      <c r="K133" s="1" t="s">
        <v>9</v>
      </c>
    </row>
    <row r="134" spans="1:11" x14ac:dyDescent="0.25">
      <c r="A134" s="3">
        <v>45309</v>
      </c>
      <c r="B134" t="s">
        <v>76</v>
      </c>
      <c r="C134" t="s">
        <v>81</v>
      </c>
      <c r="D134" t="s">
        <v>82</v>
      </c>
      <c r="E134">
        <v>2016</v>
      </c>
      <c r="F134" s="4">
        <v>32771</v>
      </c>
      <c r="G134" s="10" t="s">
        <v>83</v>
      </c>
      <c r="H134" t="s">
        <v>37</v>
      </c>
      <c r="I134" s="4">
        <v>240000</v>
      </c>
    </row>
    <row r="135" spans="1:11" x14ac:dyDescent="0.25">
      <c r="H135" t="s">
        <v>50</v>
      </c>
      <c r="I135" s="4">
        <v>140000</v>
      </c>
    </row>
    <row r="136" spans="1:11" x14ac:dyDescent="0.25">
      <c r="H136" t="s">
        <v>48</v>
      </c>
      <c r="I136" s="4">
        <v>90000</v>
      </c>
    </row>
    <row r="138" spans="1:11" x14ac:dyDescent="0.25">
      <c r="H138" t="s">
        <v>17</v>
      </c>
      <c r="I138" s="4">
        <f>SUM(I134:I137)</f>
        <v>470000</v>
      </c>
    </row>
    <row r="140" spans="1:11" x14ac:dyDescent="0.25">
      <c r="A140" s="1" t="s">
        <v>0</v>
      </c>
      <c r="B140" s="1" t="s">
        <v>1</v>
      </c>
      <c r="C140" s="1" t="s">
        <v>2</v>
      </c>
      <c r="D140" s="1" t="s">
        <v>3</v>
      </c>
      <c r="E140" s="1" t="s">
        <v>4</v>
      </c>
      <c r="F140" s="2" t="s">
        <v>5</v>
      </c>
      <c r="G140" s="9" t="s">
        <v>40</v>
      </c>
      <c r="H140" s="1" t="s">
        <v>6</v>
      </c>
      <c r="I140" s="2" t="s">
        <v>7</v>
      </c>
      <c r="J140" s="1" t="s">
        <v>8</v>
      </c>
      <c r="K140" s="1" t="s">
        <v>9</v>
      </c>
    </row>
    <row r="141" spans="1:11" x14ac:dyDescent="0.25">
      <c r="A141" s="3">
        <v>45309</v>
      </c>
      <c r="B141" t="s">
        <v>77</v>
      </c>
      <c r="C141" t="s">
        <v>78</v>
      </c>
      <c r="D141" t="s">
        <v>19</v>
      </c>
      <c r="E141">
        <v>2020</v>
      </c>
      <c r="F141" s="4">
        <v>41678</v>
      </c>
      <c r="G141" s="10" t="s">
        <v>84</v>
      </c>
      <c r="H141" t="s">
        <v>79</v>
      </c>
      <c r="I141" s="4">
        <v>144000</v>
      </c>
    </row>
    <row r="142" spans="1:11" x14ac:dyDescent="0.25">
      <c r="H142" t="s">
        <v>15</v>
      </c>
      <c r="I142" s="4">
        <v>46000</v>
      </c>
    </row>
    <row r="143" spans="1:11" x14ac:dyDescent="0.25">
      <c r="H143" t="s">
        <v>16</v>
      </c>
      <c r="I143" s="4">
        <v>30000</v>
      </c>
    </row>
    <row r="145" spans="1:11" x14ac:dyDescent="0.25">
      <c r="H145" t="s">
        <v>17</v>
      </c>
      <c r="I145" s="4">
        <f>SUM(I141:I144)</f>
        <v>220000</v>
      </c>
    </row>
    <row r="147" spans="1:11" x14ac:dyDescent="0.25">
      <c r="A147" s="1" t="s">
        <v>0</v>
      </c>
      <c r="B147" s="1" t="s">
        <v>1</v>
      </c>
      <c r="C147" s="1" t="s">
        <v>2</v>
      </c>
      <c r="D147" s="1" t="s">
        <v>3</v>
      </c>
      <c r="E147" s="1" t="s">
        <v>4</v>
      </c>
      <c r="F147" s="2" t="s">
        <v>5</v>
      </c>
      <c r="G147" s="9" t="s">
        <v>40</v>
      </c>
      <c r="H147" s="1" t="s">
        <v>6</v>
      </c>
      <c r="I147" s="2" t="s">
        <v>7</v>
      </c>
      <c r="J147" s="1" t="s">
        <v>8</v>
      </c>
      <c r="K147" s="1" t="s">
        <v>9</v>
      </c>
    </row>
    <row r="148" spans="1:11" x14ac:dyDescent="0.25">
      <c r="A148" s="3">
        <v>45311</v>
      </c>
      <c r="B148" t="s">
        <v>85</v>
      </c>
      <c r="C148" t="s">
        <v>86</v>
      </c>
      <c r="D148" t="s">
        <v>87</v>
      </c>
      <c r="F148" s="4">
        <v>31223</v>
      </c>
      <c r="G148" s="10" t="s">
        <v>88</v>
      </c>
      <c r="H148" t="s">
        <v>89</v>
      </c>
      <c r="I148" s="4">
        <v>1700000</v>
      </c>
      <c r="J148">
        <v>1000000</v>
      </c>
    </row>
    <row r="149" spans="1:11" x14ac:dyDescent="0.25">
      <c r="H149" t="s">
        <v>14</v>
      </c>
      <c r="I149" s="4">
        <v>240000</v>
      </c>
    </row>
    <row r="150" spans="1:11" x14ac:dyDescent="0.25">
      <c r="H150" t="s">
        <v>15</v>
      </c>
      <c r="I150" s="4">
        <v>46000</v>
      </c>
    </row>
    <row r="151" spans="1:11" x14ac:dyDescent="0.25">
      <c r="H151" t="s">
        <v>50</v>
      </c>
      <c r="I151" s="4">
        <v>744000</v>
      </c>
    </row>
    <row r="152" spans="1:11" x14ac:dyDescent="0.25">
      <c r="H152" t="s">
        <v>33</v>
      </c>
      <c r="I152" s="4">
        <v>20000</v>
      </c>
    </row>
    <row r="154" spans="1:11" x14ac:dyDescent="0.25">
      <c r="H154" t="s">
        <v>17</v>
      </c>
      <c r="I154" s="4">
        <f>SUM(I148:I153)</f>
        <v>2750000</v>
      </c>
    </row>
    <row r="156" spans="1:11" x14ac:dyDescent="0.25">
      <c r="A156" s="3">
        <v>45393</v>
      </c>
      <c r="H156" t="s">
        <v>919</v>
      </c>
      <c r="I156" s="4">
        <v>80000</v>
      </c>
    </row>
    <row r="157" spans="1:11" x14ac:dyDescent="0.25">
      <c r="A157" s="3"/>
    </row>
    <row r="158" spans="1:11" x14ac:dyDescent="0.25">
      <c r="A158" s="3">
        <v>45495</v>
      </c>
      <c r="H158" t="s">
        <v>39</v>
      </c>
      <c r="I158" s="4">
        <f>285000*2</f>
        <v>570000</v>
      </c>
    </row>
    <row r="159" spans="1:11" x14ac:dyDescent="0.25">
      <c r="A159" s="3"/>
    </row>
    <row r="160" spans="1:11" x14ac:dyDescent="0.25">
      <c r="A160" s="3"/>
    </row>
    <row r="161" spans="1:11" x14ac:dyDescent="0.25">
      <c r="A161" s="3"/>
    </row>
    <row r="163" spans="1:11" x14ac:dyDescent="0.25">
      <c r="A163" s="1" t="s">
        <v>0</v>
      </c>
      <c r="B163" s="1" t="s">
        <v>1</v>
      </c>
      <c r="C163" s="1" t="s">
        <v>2</v>
      </c>
      <c r="D163" s="1" t="s">
        <v>3</v>
      </c>
      <c r="E163" s="1" t="s">
        <v>4</v>
      </c>
      <c r="F163" s="2" t="s">
        <v>5</v>
      </c>
      <c r="G163" s="9" t="s">
        <v>40</v>
      </c>
      <c r="H163" s="1" t="s">
        <v>6</v>
      </c>
      <c r="I163" s="2" t="s">
        <v>7</v>
      </c>
      <c r="J163" s="1" t="s">
        <v>8</v>
      </c>
      <c r="K163" s="1" t="s">
        <v>9</v>
      </c>
    </row>
    <row r="164" spans="1:11" x14ac:dyDescent="0.25">
      <c r="A164" s="3">
        <v>45311</v>
      </c>
      <c r="B164" t="s">
        <v>363</v>
      </c>
      <c r="C164" t="s">
        <v>460</v>
      </c>
      <c r="E164">
        <v>2021</v>
      </c>
      <c r="F164" s="4">
        <v>22362</v>
      </c>
      <c r="G164" s="10" t="s">
        <v>461</v>
      </c>
      <c r="H164" t="s">
        <v>37</v>
      </c>
    </row>
    <row r="165" spans="1:11" x14ac:dyDescent="0.25">
      <c r="H165" t="s">
        <v>170</v>
      </c>
    </row>
    <row r="167" spans="1:11" x14ac:dyDescent="0.25">
      <c r="H167" t="s">
        <v>17</v>
      </c>
    </row>
    <row r="169" spans="1:11" x14ac:dyDescent="0.25">
      <c r="A169" s="1" t="s">
        <v>0</v>
      </c>
      <c r="B169" s="1" t="s">
        <v>1</v>
      </c>
      <c r="C169" s="1" t="s">
        <v>2</v>
      </c>
      <c r="D169" s="1" t="s">
        <v>3</v>
      </c>
      <c r="E169" s="1" t="s">
        <v>4</v>
      </c>
      <c r="F169" s="2" t="s">
        <v>5</v>
      </c>
      <c r="G169" s="9" t="s">
        <v>40</v>
      </c>
      <c r="H169" s="1" t="s">
        <v>6</v>
      </c>
      <c r="I169" s="2" t="s">
        <v>7</v>
      </c>
      <c r="J169" s="1" t="s">
        <v>8</v>
      </c>
      <c r="K169" s="1" t="s">
        <v>9</v>
      </c>
    </row>
    <row r="170" spans="1:11" x14ac:dyDescent="0.25">
      <c r="A170" s="3">
        <v>45311</v>
      </c>
      <c r="B170" t="s">
        <v>90</v>
      </c>
      <c r="D170" t="s">
        <v>19</v>
      </c>
      <c r="G170" s="10" t="s">
        <v>91</v>
      </c>
      <c r="H170" t="s">
        <v>33</v>
      </c>
      <c r="I170" s="4">
        <v>20000</v>
      </c>
    </row>
    <row r="171" spans="1:11" x14ac:dyDescent="0.25">
      <c r="H171" t="s">
        <v>92</v>
      </c>
      <c r="I171" s="4">
        <v>60000</v>
      </c>
    </row>
    <row r="173" spans="1:11" x14ac:dyDescent="0.25">
      <c r="H173" t="s">
        <v>17</v>
      </c>
      <c r="I173" s="4">
        <f>SUM(I170:I172)</f>
        <v>80000</v>
      </c>
    </row>
    <row r="175" spans="1:11" x14ac:dyDescent="0.25">
      <c r="A175" s="1" t="s">
        <v>0</v>
      </c>
      <c r="B175" s="1" t="s">
        <v>1</v>
      </c>
      <c r="C175" s="1" t="s">
        <v>2</v>
      </c>
      <c r="D175" s="1" t="s">
        <v>3</v>
      </c>
      <c r="E175" s="1" t="s">
        <v>4</v>
      </c>
      <c r="F175" s="2" t="s">
        <v>5</v>
      </c>
      <c r="G175" s="9" t="s">
        <v>40</v>
      </c>
      <c r="H175" s="1" t="s">
        <v>6</v>
      </c>
      <c r="I175" s="2" t="s">
        <v>7</v>
      </c>
      <c r="J175" s="1" t="s">
        <v>8</v>
      </c>
      <c r="K175" s="1" t="s">
        <v>9</v>
      </c>
    </row>
    <row r="176" spans="1:11" x14ac:dyDescent="0.25">
      <c r="A176" s="3">
        <v>45311</v>
      </c>
      <c r="B176" t="s">
        <v>93</v>
      </c>
      <c r="C176" t="s">
        <v>94</v>
      </c>
      <c r="H176" t="s">
        <v>95</v>
      </c>
      <c r="I176" s="4">
        <v>10000</v>
      </c>
    </row>
    <row r="177" spans="1:11" x14ac:dyDescent="0.25">
      <c r="H177" t="s">
        <v>96</v>
      </c>
    </row>
    <row r="178" spans="1:11" x14ac:dyDescent="0.25">
      <c r="H178" t="s">
        <v>97</v>
      </c>
      <c r="I178" s="4">
        <v>40000</v>
      </c>
    </row>
    <row r="180" spans="1:11" x14ac:dyDescent="0.25">
      <c r="H180" t="s">
        <v>17</v>
      </c>
      <c r="I180" s="4">
        <f>SUM(I176:I179)</f>
        <v>50000</v>
      </c>
    </row>
    <row r="182" spans="1:11" x14ac:dyDescent="0.25">
      <c r="A182" s="1" t="s">
        <v>0</v>
      </c>
      <c r="B182" s="1" t="s">
        <v>1</v>
      </c>
      <c r="C182" s="1" t="s">
        <v>2</v>
      </c>
      <c r="D182" s="1" t="s">
        <v>3</v>
      </c>
      <c r="E182" s="1" t="s">
        <v>4</v>
      </c>
      <c r="F182" s="2" t="s">
        <v>5</v>
      </c>
      <c r="G182" s="9" t="s">
        <v>40</v>
      </c>
      <c r="H182" s="1" t="s">
        <v>6</v>
      </c>
      <c r="I182" s="2" t="s">
        <v>7</v>
      </c>
      <c r="J182" s="1" t="s">
        <v>8</v>
      </c>
      <c r="K182" s="1" t="s">
        <v>9</v>
      </c>
    </row>
    <row r="183" spans="1:11" x14ac:dyDescent="0.25">
      <c r="A183" s="3">
        <v>45311</v>
      </c>
      <c r="B183" t="s">
        <v>10</v>
      </c>
      <c r="C183" t="s">
        <v>98</v>
      </c>
      <c r="G183" s="10" t="s">
        <v>99</v>
      </c>
      <c r="H183" t="s">
        <v>100</v>
      </c>
      <c r="I183" s="4">
        <v>80000</v>
      </c>
    </row>
    <row r="184" spans="1:11" x14ac:dyDescent="0.25">
      <c r="H184" t="s">
        <v>101</v>
      </c>
      <c r="I184" s="4">
        <v>46000</v>
      </c>
    </row>
    <row r="185" spans="1:11" x14ac:dyDescent="0.25">
      <c r="H185" t="s">
        <v>102</v>
      </c>
      <c r="I185" s="4">
        <v>35000</v>
      </c>
    </row>
    <row r="187" spans="1:11" x14ac:dyDescent="0.25">
      <c r="H187" t="s">
        <v>17</v>
      </c>
      <c r="I187" s="4">
        <f>SUM(I183:I186)</f>
        <v>161000</v>
      </c>
    </row>
    <row r="189" spans="1:11" x14ac:dyDescent="0.25">
      <c r="A189" s="1" t="s">
        <v>0</v>
      </c>
      <c r="B189" s="1" t="s">
        <v>1</v>
      </c>
      <c r="C189" s="1" t="s">
        <v>2</v>
      </c>
      <c r="D189" s="1" t="s">
        <v>3</v>
      </c>
      <c r="E189" s="1" t="s">
        <v>4</v>
      </c>
      <c r="F189" s="2" t="s">
        <v>5</v>
      </c>
      <c r="G189" s="9" t="s">
        <v>40</v>
      </c>
      <c r="H189" s="1" t="s">
        <v>6</v>
      </c>
      <c r="I189" s="2" t="s">
        <v>7</v>
      </c>
      <c r="J189" s="1" t="s">
        <v>8</v>
      </c>
      <c r="K189" s="1" t="s">
        <v>9</v>
      </c>
    </row>
    <row r="190" spans="1:11" x14ac:dyDescent="0.25">
      <c r="A190" s="3">
        <v>45311</v>
      </c>
      <c r="B190" t="s">
        <v>103</v>
      </c>
      <c r="C190" t="s">
        <v>104</v>
      </c>
      <c r="E190">
        <v>2020</v>
      </c>
      <c r="F190" s="4">
        <v>10700</v>
      </c>
      <c r="G190" s="10" t="s">
        <v>105</v>
      </c>
      <c r="H190" t="s">
        <v>106</v>
      </c>
      <c r="I190" s="4">
        <v>150000</v>
      </c>
    </row>
    <row r="191" spans="1:11" x14ac:dyDescent="0.25">
      <c r="H191" t="s">
        <v>14</v>
      </c>
      <c r="I191" s="4">
        <v>260000</v>
      </c>
    </row>
    <row r="192" spans="1:11" x14ac:dyDescent="0.25">
      <c r="H192" t="s">
        <v>15</v>
      </c>
      <c r="I192" s="4">
        <v>46000</v>
      </c>
    </row>
    <row r="194" spans="1:11" x14ac:dyDescent="0.25">
      <c r="H194" t="s">
        <v>17</v>
      </c>
      <c r="I194" s="4">
        <f>SUM(I190:I193)</f>
        <v>456000</v>
      </c>
    </row>
    <row r="196" spans="1:11" x14ac:dyDescent="0.25">
      <c r="A196" s="1" t="s">
        <v>0</v>
      </c>
      <c r="B196" s="1" t="s">
        <v>1</v>
      </c>
      <c r="C196" s="1" t="s">
        <v>2</v>
      </c>
      <c r="D196" s="1" t="s">
        <v>3</v>
      </c>
      <c r="E196" s="1" t="s">
        <v>4</v>
      </c>
      <c r="F196" s="2" t="s">
        <v>5</v>
      </c>
      <c r="G196" s="9" t="s">
        <v>40</v>
      </c>
      <c r="H196" s="1" t="s">
        <v>6</v>
      </c>
      <c r="I196" s="2" t="s">
        <v>7</v>
      </c>
      <c r="J196" s="1" t="s">
        <v>8</v>
      </c>
      <c r="K196" s="1" t="s">
        <v>9</v>
      </c>
    </row>
    <row r="197" spans="1:11" x14ac:dyDescent="0.25">
      <c r="A197" s="3">
        <v>45311</v>
      </c>
      <c r="B197" t="s">
        <v>10</v>
      </c>
      <c r="C197" t="s">
        <v>107</v>
      </c>
      <c r="F197" s="4">
        <v>40594</v>
      </c>
      <c r="H197" t="s">
        <v>14</v>
      </c>
      <c r="I197" s="4">
        <v>180000</v>
      </c>
    </row>
    <row r="198" spans="1:11" x14ac:dyDescent="0.25">
      <c r="H198" t="s">
        <v>15</v>
      </c>
      <c r="I198" s="4">
        <v>46000</v>
      </c>
    </row>
    <row r="199" spans="1:11" x14ac:dyDescent="0.25">
      <c r="H199" t="s">
        <v>108</v>
      </c>
      <c r="I199" s="4">
        <v>30000</v>
      </c>
    </row>
    <row r="200" spans="1:11" x14ac:dyDescent="0.25">
      <c r="H200" t="s">
        <v>109</v>
      </c>
      <c r="I200" s="4">
        <v>140000</v>
      </c>
    </row>
    <row r="202" spans="1:11" x14ac:dyDescent="0.25">
      <c r="H202" t="s">
        <v>17</v>
      </c>
      <c r="I202" s="4">
        <f>SUM(I197:I201)</f>
        <v>396000</v>
      </c>
    </row>
    <row r="204" spans="1:11" x14ac:dyDescent="0.25">
      <c r="A204" s="1" t="s">
        <v>0</v>
      </c>
      <c r="B204" s="1" t="s">
        <v>1</v>
      </c>
      <c r="C204" s="1" t="s">
        <v>2</v>
      </c>
      <c r="D204" s="1" t="s">
        <v>3</v>
      </c>
      <c r="E204" s="1" t="s">
        <v>4</v>
      </c>
      <c r="F204" s="2" t="s">
        <v>5</v>
      </c>
      <c r="G204" s="9" t="s">
        <v>40</v>
      </c>
      <c r="H204" s="1" t="s">
        <v>6</v>
      </c>
      <c r="I204" s="2" t="s">
        <v>7</v>
      </c>
      <c r="J204" s="1" t="s">
        <v>8</v>
      </c>
      <c r="K204" s="1" t="s">
        <v>9</v>
      </c>
    </row>
    <row r="205" spans="1:11" x14ac:dyDescent="0.25">
      <c r="A205" s="3">
        <v>45311</v>
      </c>
      <c r="B205" t="s">
        <v>10</v>
      </c>
      <c r="C205" t="s">
        <v>110</v>
      </c>
      <c r="D205" t="s">
        <v>26</v>
      </c>
      <c r="F205" s="4">
        <v>36912</v>
      </c>
      <c r="G205" s="10" t="s">
        <v>111</v>
      </c>
      <c r="H205" t="s">
        <v>112</v>
      </c>
      <c r="I205" s="4">
        <v>80000</v>
      </c>
    </row>
    <row r="206" spans="1:11" x14ac:dyDescent="0.25">
      <c r="H206" t="s">
        <v>102</v>
      </c>
      <c r="I206" s="4">
        <v>35000</v>
      </c>
    </row>
    <row r="207" spans="1:11" x14ac:dyDescent="0.25">
      <c r="H207" t="s">
        <v>113</v>
      </c>
      <c r="I207" s="4">
        <v>46000</v>
      </c>
    </row>
    <row r="208" spans="1:11" x14ac:dyDescent="0.25">
      <c r="H208" t="s">
        <v>114</v>
      </c>
      <c r="I208" s="4">
        <v>150000</v>
      </c>
    </row>
    <row r="209" spans="1:11" x14ac:dyDescent="0.25">
      <c r="H209" t="s">
        <v>115</v>
      </c>
      <c r="I209" s="4">
        <v>30000</v>
      </c>
    </row>
    <row r="210" spans="1:11" x14ac:dyDescent="0.25">
      <c r="H210" t="s">
        <v>116</v>
      </c>
    </row>
    <row r="212" spans="1:11" x14ac:dyDescent="0.25">
      <c r="H212" t="s">
        <v>17</v>
      </c>
      <c r="I212" s="4">
        <f>SUM(I205:I211)</f>
        <v>341000</v>
      </c>
    </row>
    <row r="214" spans="1:11" x14ac:dyDescent="0.25">
      <c r="A214" s="1" t="s">
        <v>0</v>
      </c>
      <c r="B214" s="1" t="s">
        <v>1</v>
      </c>
      <c r="C214" s="1" t="s">
        <v>2</v>
      </c>
      <c r="D214" s="1" t="s">
        <v>3</v>
      </c>
      <c r="E214" s="1" t="s">
        <v>4</v>
      </c>
      <c r="F214" s="2" t="s">
        <v>5</v>
      </c>
      <c r="G214" s="9" t="s">
        <v>40</v>
      </c>
      <c r="H214" s="1" t="s">
        <v>6</v>
      </c>
      <c r="I214" s="2" t="s">
        <v>7</v>
      </c>
      <c r="J214" s="1" t="s">
        <v>8</v>
      </c>
      <c r="K214" s="1" t="s">
        <v>9</v>
      </c>
    </row>
    <row r="215" spans="1:11" x14ac:dyDescent="0.25">
      <c r="A215" s="3">
        <v>45311</v>
      </c>
      <c r="B215" t="s">
        <v>10</v>
      </c>
      <c r="C215" t="s">
        <v>117</v>
      </c>
      <c r="D215" t="s">
        <v>118</v>
      </c>
      <c r="G215" s="10" t="s">
        <v>119</v>
      </c>
      <c r="H215" t="s">
        <v>120</v>
      </c>
      <c r="I215" s="4">
        <v>120000</v>
      </c>
    </row>
    <row r="216" spans="1:11" x14ac:dyDescent="0.25">
      <c r="H216" t="s">
        <v>121</v>
      </c>
      <c r="I216" s="4">
        <v>15000</v>
      </c>
    </row>
    <row r="217" spans="1:11" x14ac:dyDescent="0.25">
      <c r="H217" t="s">
        <v>33</v>
      </c>
      <c r="I217" s="4">
        <v>20000</v>
      </c>
    </row>
    <row r="219" spans="1:11" x14ac:dyDescent="0.25">
      <c r="H219" t="s">
        <v>17</v>
      </c>
      <c r="I219" s="4">
        <f>SUM(I215:I218)</f>
        <v>155000</v>
      </c>
    </row>
    <row r="221" spans="1:11" x14ac:dyDescent="0.25">
      <c r="A221" s="1" t="s">
        <v>0</v>
      </c>
      <c r="B221" s="1" t="s">
        <v>1</v>
      </c>
      <c r="C221" s="1" t="s">
        <v>2</v>
      </c>
      <c r="D221" s="1" t="s">
        <v>3</v>
      </c>
      <c r="E221" s="1" t="s">
        <v>4</v>
      </c>
      <c r="F221" s="2" t="s">
        <v>5</v>
      </c>
      <c r="G221" s="9" t="s">
        <v>40</v>
      </c>
      <c r="H221" s="1" t="s">
        <v>6</v>
      </c>
      <c r="I221" s="2" t="s">
        <v>7</v>
      </c>
      <c r="J221" s="1" t="s">
        <v>8</v>
      </c>
      <c r="K221" s="1" t="s">
        <v>9</v>
      </c>
    </row>
    <row r="222" spans="1:11" x14ac:dyDescent="0.25">
      <c r="A222" s="3">
        <v>45311</v>
      </c>
      <c r="B222" t="s">
        <v>122</v>
      </c>
      <c r="C222" t="s">
        <v>123</v>
      </c>
      <c r="E222">
        <v>2023</v>
      </c>
      <c r="G222" s="10" t="s">
        <v>124</v>
      </c>
      <c r="H222" t="s">
        <v>59</v>
      </c>
      <c r="I222" s="4">
        <v>190000</v>
      </c>
    </row>
    <row r="224" spans="1:11" x14ac:dyDescent="0.25">
      <c r="H224" t="s">
        <v>17</v>
      </c>
      <c r="I224" s="4">
        <f>SUM(I222:I223)</f>
        <v>190000</v>
      </c>
    </row>
    <row r="226" spans="1:11" x14ac:dyDescent="0.25">
      <c r="A226" s="1" t="s">
        <v>0</v>
      </c>
      <c r="B226" s="1" t="s">
        <v>1</v>
      </c>
      <c r="C226" s="1" t="s">
        <v>2</v>
      </c>
      <c r="D226" s="1" t="s">
        <v>3</v>
      </c>
      <c r="E226" s="1" t="s">
        <v>4</v>
      </c>
      <c r="F226" s="2" t="s">
        <v>5</v>
      </c>
      <c r="G226" s="9" t="s">
        <v>40</v>
      </c>
      <c r="H226" s="1" t="s">
        <v>6</v>
      </c>
      <c r="I226" s="2" t="s">
        <v>7</v>
      </c>
      <c r="J226" s="1" t="s">
        <v>8</v>
      </c>
      <c r="K226" s="1" t="s">
        <v>9</v>
      </c>
    </row>
    <row r="227" spans="1:11" x14ac:dyDescent="0.25">
      <c r="A227" s="3">
        <v>45311</v>
      </c>
      <c r="B227" t="s">
        <v>125</v>
      </c>
      <c r="C227" t="s">
        <v>126</v>
      </c>
      <c r="D227" t="s">
        <v>87</v>
      </c>
      <c r="G227" s="10" t="s">
        <v>127</v>
      </c>
      <c r="H227" t="s">
        <v>128</v>
      </c>
      <c r="I227" s="4">
        <v>190000</v>
      </c>
    </row>
    <row r="228" spans="1:11" x14ac:dyDescent="0.25">
      <c r="H228" t="s">
        <v>48</v>
      </c>
      <c r="I228" s="4">
        <v>35000</v>
      </c>
    </row>
    <row r="229" spans="1:11" x14ac:dyDescent="0.25">
      <c r="H229" t="s">
        <v>50</v>
      </c>
      <c r="I229" s="4">
        <v>15000</v>
      </c>
    </row>
    <row r="230" spans="1:11" x14ac:dyDescent="0.25">
      <c r="H230" t="s">
        <v>129</v>
      </c>
      <c r="I230" s="4">
        <v>139000</v>
      </c>
    </row>
    <row r="231" spans="1:11" x14ac:dyDescent="0.25">
      <c r="H231" t="s">
        <v>33</v>
      </c>
      <c r="I231" s="4">
        <v>20000</v>
      </c>
    </row>
    <row r="233" spans="1:11" x14ac:dyDescent="0.25">
      <c r="H233" t="s">
        <v>17</v>
      </c>
      <c r="I233" s="4">
        <f>SUM(I227:I232)</f>
        <v>399000</v>
      </c>
    </row>
    <row r="235" spans="1:11" x14ac:dyDescent="0.25">
      <c r="A235" s="1" t="s">
        <v>0</v>
      </c>
      <c r="B235" s="1" t="s">
        <v>1</v>
      </c>
      <c r="C235" s="1" t="s">
        <v>2</v>
      </c>
      <c r="D235" s="1" t="s">
        <v>3</v>
      </c>
      <c r="E235" s="1" t="s">
        <v>4</v>
      </c>
      <c r="F235" s="2" t="s">
        <v>5</v>
      </c>
      <c r="G235" s="9" t="s">
        <v>40</v>
      </c>
      <c r="H235" s="1" t="s">
        <v>6</v>
      </c>
      <c r="I235" s="2" t="s">
        <v>7</v>
      </c>
      <c r="J235" s="1" t="s">
        <v>8</v>
      </c>
      <c r="K235" s="1" t="s">
        <v>9</v>
      </c>
    </row>
    <row r="236" spans="1:11" x14ac:dyDescent="0.25">
      <c r="A236" s="3">
        <v>45311</v>
      </c>
      <c r="B236" t="s">
        <v>29</v>
      </c>
      <c r="C236" t="s">
        <v>130</v>
      </c>
      <c r="D236" t="s">
        <v>26</v>
      </c>
      <c r="E236">
        <v>2012</v>
      </c>
      <c r="G236" s="10" t="s">
        <v>131</v>
      </c>
      <c r="H236" t="s">
        <v>37</v>
      </c>
      <c r="I236" s="4">
        <v>280000</v>
      </c>
    </row>
    <row r="237" spans="1:11" x14ac:dyDescent="0.25">
      <c r="H237" t="s">
        <v>132</v>
      </c>
      <c r="I237" s="4">
        <v>280000</v>
      </c>
    </row>
    <row r="238" spans="1:11" x14ac:dyDescent="0.25">
      <c r="H238" t="s">
        <v>48</v>
      </c>
      <c r="I238" s="4">
        <v>80000</v>
      </c>
    </row>
    <row r="239" spans="1:11" x14ac:dyDescent="0.25">
      <c r="H239" t="s">
        <v>14</v>
      </c>
      <c r="I239" s="4">
        <v>114000</v>
      </c>
    </row>
    <row r="240" spans="1:11" x14ac:dyDescent="0.25">
      <c r="H240" t="s">
        <v>15</v>
      </c>
      <c r="I240" s="4">
        <v>46000</v>
      </c>
    </row>
    <row r="242" spans="1:11" x14ac:dyDescent="0.25">
      <c r="H242" t="s">
        <v>17</v>
      </c>
      <c r="I242" s="4">
        <f>SUM(I236:I241)</f>
        <v>800000</v>
      </c>
    </row>
    <row r="244" spans="1:11" x14ac:dyDescent="0.25">
      <c r="A244" s="1" t="s">
        <v>0</v>
      </c>
      <c r="B244" s="1" t="s">
        <v>1</v>
      </c>
      <c r="C244" s="1" t="s">
        <v>2</v>
      </c>
      <c r="D244" s="1" t="s">
        <v>3</v>
      </c>
      <c r="E244" s="1" t="s">
        <v>4</v>
      </c>
      <c r="F244" s="2" t="s">
        <v>5</v>
      </c>
      <c r="G244" s="9" t="s">
        <v>40</v>
      </c>
      <c r="H244" s="1" t="s">
        <v>6</v>
      </c>
      <c r="I244" s="2" t="s">
        <v>7</v>
      </c>
      <c r="J244" s="1" t="s">
        <v>8</v>
      </c>
      <c r="K244" s="1" t="s">
        <v>9</v>
      </c>
    </row>
    <row r="245" spans="1:11" x14ac:dyDescent="0.25">
      <c r="A245" s="3">
        <v>45313</v>
      </c>
      <c r="B245" t="s">
        <v>133</v>
      </c>
      <c r="C245" t="s">
        <v>134</v>
      </c>
      <c r="E245">
        <v>2022</v>
      </c>
      <c r="F245" s="4">
        <v>15200</v>
      </c>
      <c r="G245" s="10" t="s">
        <v>135</v>
      </c>
      <c r="H245" t="s">
        <v>14</v>
      </c>
      <c r="I245" s="4">
        <v>48000</v>
      </c>
    </row>
    <row r="246" spans="1:11" x14ac:dyDescent="0.25">
      <c r="H246" t="s">
        <v>128</v>
      </c>
      <c r="I246" s="4">
        <v>190000</v>
      </c>
    </row>
    <row r="247" spans="1:11" x14ac:dyDescent="0.25">
      <c r="H247" t="s">
        <v>50</v>
      </c>
      <c r="I247" s="4">
        <v>35000</v>
      </c>
    </row>
    <row r="249" spans="1:11" x14ac:dyDescent="0.25">
      <c r="H249" t="s">
        <v>17</v>
      </c>
      <c r="I249" s="4">
        <f>SUM(I245:I248)</f>
        <v>273000</v>
      </c>
    </row>
    <row r="251" spans="1:11" x14ac:dyDescent="0.25">
      <c r="A251" s="1" t="s">
        <v>0</v>
      </c>
      <c r="B251" s="1" t="s">
        <v>1</v>
      </c>
      <c r="C251" s="1" t="s">
        <v>2</v>
      </c>
      <c r="D251" s="1" t="s">
        <v>3</v>
      </c>
      <c r="E251" s="1" t="s">
        <v>4</v>
      </c>
      <c r="F251" s="2" t="s">
        <v>5</v>
      </c>
      <c r="G251" s="9" t="s">
        <v>40</v>
      </c>
      <c r="H251" s="1" t="s">
        <v>6</v>
      </c>
      <c r="I251" s="2" t="s">
        <v>7</v>
      </c>
      <c r="J251" s="1" t="s">
        <v>8</v>
      </c>
      <c r="K251" s="1" t="s">
        <v>9</v>
      </c>
    </row>
    <row r="252" spans="1:11" x14ac:dyDescent="0.25">
      <c r="A252" s="3">
        <v>45313</v>
      </c>
      <c r="B252" t="s">
        <v>136</v>
      </c>
      <c r="D252" t="s">
        <v>19</v>
      </c>
      <c r="G252" s="10" t="s">
        <v>137</v>
      </c>
      <c r="H252" t="s">
        <v>55</v>
      </c>
      <c r="I252" s="4">
        <v>95000</v>
      </c>
    </row>
    <row r="253" spans="1:11" x14ac:dyDescent="0.25">
      <c r="H253" t="s">
        <v>138</v>
      </c>
      <c r="I253" s="4">
        <v>10000</v>
      </c>
    </row>
    <row r="254" spans="1:11" x14ac:dyDescent="0.25">
      <c r="H254" t="s">
        <v>16</v>
      </c>
      <c r="I254" s="4">
        <v>40000</v>
      </c>
    </row>
    <row r="255" spans="1:11" x14ac:dyDescent="0.25">
      <c r="H255" t="s">
        <v>34</v>
      </c>
      <c r="I255" s="4">
        <v>35000</v>
      </c>
    </row>
    <row r="257" spans="1:11" x14ac:dyDescent="0.25">
      <c r="H257" t="s">
        <v>17</v>
      </c>
      <c r="I257" s="4">
        <f>SUM(I252:I256)</f>
        <v>180000</v>
      </c>
    </row>
    <row r="259" spans="1:11" x14ac:dyDescent="0.25">
      <c r="A259" s="1" t="s">
        <v>0</v>
      </c>
      <c r="B259" s="1" t="s">
        <v>1</v>
      </c>
      <c r="C259" s="1" t="s">
        <v>2</v>
      </c>
      <c r="D259" s="1" t="s">
        <v>3</v>
      </c>
      <c r="E259" s="1" t="s">
        <v>4</v>
      </c>
      <c r="F259" s="2" t="s">
        <v>5</v>
      </c>
      <c r="G259" s="9" t="s">
        <v>40</v>
      </c>
      <c r="H259" s="1" t="s">
        <v>6</v>
      </c>
      <c r="I259" s="2" t="s">
        <v>7</v>
      </c>
      <c r="J259" s="1" t="s">
        <v>8</v>
      </c>
      <c r="K259" s="1" t="s">
        <v>9</v>
      </c>
    </row>
    <row r="260" spans="1:11" x14ac:dyDescent="0.25">
      <c r="A260" s="3">
        <v>45313</v>
      </c>
      <c r="B260" t="s">
        <v>139</v>
      </c>
      <c r="C260" t="s">
        <v>140</v>
      </c>
      <c r="D260" t="s">
        <v>87</v>
      </c>
      <c r="F260" s="4">
        <v>18514</v>
      </c>
      <c r="H260" t="s">
        <v>141</v>
      </c>
      <c r="I260" s="4">
        <v>80000</v>
      </c>
    </row>
    <row r="261" spans="1:11" x14ac:dyDescent="0.25">
      <c r="H261" t="s">
        <v>142</v>
      </c>
      <c r="I261" s="4">
        <v>140000</v>
      </c>
    </row>
    <row r="262" spans="1:11" x14ac:dyDescent="0.25">
      <c r="H262" t="s">
        <v>21</v>
      </c>
      <c r="I262" s="4">
        <v>40000</v>
      </c>
    </row>
    <row r="263" spans="1:11" x14ac:dyDescent="0.25">
      <c r="H263" t="s">
        <v>14</v>
      </c>
      <c r="I263" s="4">
        <v>156000</v>
      </c>
    </row>
    <row r="265" spans="1:11" x14ac:dyDescent="0.25">
      <c r="H265" t="s">
        <v>17</v>
      </c>
      <c r="I265" s="4">
        <f>SUM(I260:I264)</f>
        <v>416000</v>
      </c>
    </row>
    <row r="267" spans="1:11" x14ac:dyDescent="0.25">
      <c r="A267" s="1" t="s">
        <v>0</v>
      </c>
      <c r="B267" s="1" t="s">
        <v>1</v>
      </c>
      <c r="C267" s="1" t="s">
        <v>2</v>
      </c>
      <c r="D267" s="1" t="s">
        <v>3</v>
      </c>
      <c r="E267" s="1" t="s">
        <v>4</v>
      </c>
      <c r="F267" s="2" t="s">
        <v>5</v>
      </c>
      <c r="G267" s="9" t="s">
        <v>40</v>
      </c>
      <c r="H267" s="1" t="s">
        <v>6</v>
      </c>
      <c r="I267" s="2" t="s">
        <v>7</v>
      </c>
      <c r="J267" s="1" t="s">
        <v>8</v>
      </c>
      <c r="K267" s="1" t="s">
        <v>9</v>
      </c>
    </row>
    <row r="268" spans="1:11" x14ac:dyDescent="0.25">
      <c r="A268" s="3">
        <v>45313</v>
      </c>
      <c r="B268" t="s">
        <v>10</v>
      </c>
      <c r="C268" t="s">
        <v>462</v>
      </c>
      <c r="D268" t="s">
        <v>12</v>
      </c>
      <c r="G268" s="10" t="s">
        <v>463</v>
      </c>
      <c r="H268" t="s">
        <v>59</v>
      </c>
    </row>
    <row r="269" spans="1:11" x14ac:dyDescent="0.25">
      <c r="H269" t="s">
        <v>464</v>
      </c>
    </row>
    <row r="271" spans="1:11" x14ac:dyDescent="0.25">
      <c r="H271" t="s">
        <v>17</v>
      </c>
    </row>
    <row r="273" spans="1:11" x14ac:dyDescent="0.25">
      <c r="A273" s="1" t="s">
        <v>0</v>
      </c>
      <c r="B273" s="1" t="s">
        <v>1</v>
      </c>
      <c r="C273" s="1" t="s">
        <v>2</v>
      </c>
      <c r="D273" s="1" t="s">
        <v>3</v>
      </c>
      <c r="E273" s="1" t="s">
        <v>4</v>
      </c>
      <c r="F273" s="2" t="s">
        <v>5</v>
      </c>
      <c r="G273" s="9" t="s">
        <v>40</v>
      </c>
      <c r="H273" s="1" t="s">
        <v>6</v>
      </c>
      <c r="I273" s="2" t="s">
        <v>7</v>
      </c>
      <c r="J273" s="1" t="s">
        <v>8</v>
      </c>
      <c r="K273" s="1" t="s">
        <v>9</v>
      </c>
    </row>
    <row r="274" spans="1:11" x14ac:dyDescent="0.25">
      <c r="A274" s="3">
        <v>45313</v>
      </c>
      <c r="B274" t="s">
        <v>10</v>
      </c>
      <c r="C274" t="s">
        <v>143</v>
      </c>
      <c r="D274" t="s">
        <v>12</v>
      </c>
      <c r="E274">
        <v>2010</v>
      </c>
      <c r="F274" s="4">
        <v>109119</v>
      </c>
      <c r="G274" s="10" t="s">
        <v>144</v>
      </c>
      <c r="H274" t="s">
        <v>59</v>
      </c>
      <c r="I274" s="4">
        <v>290000</v>
      </c>
    </row>
    <row r="275" spans="1:11" x14ac:dyDescent="0.25">
      <c r="H275" t="s">
        <v>20</v>
      </c>
      <c r="I275" s="4">
        <v>140000</v>
      </c>
    </row>
    <row r="276" spans="1:11" x14ac:dyDescent="0.25">
      <c r="H276" t="s">
        <v>145</v>
      </c>
      <c r="I276" s="4">
        <v>10000</v>
      </c>
    </row>
    <row r="278" spans="1:11" x14ac:dyDescent="0.25">
      <c r="H278" t="s">
        <v>17</v>
      </c>
      <c r="I278" s="4">
        <f>SUM(I274:I277)</f>
        <v>440000</v>
      </c>
    </row>
    <row r="280" spans="1:11" x14ac:dyDescent="0.25">
      <c r="A280" s="1" t="s">
        <v>0</v>
      </c>
      <c r="B280" s="1" t="s">
        <v>1</v>
      </c>
      <c r="C280" s="1" t="s">
        <v>2</v>
      </c>
      <c r="D280" s="1" t="s">
        <v>3</v>
      </c>
      <c r="E280" s="1" t="s">
        <v>4</v>
      </c>
      <c r="F280" s="2" t="s">
        <v>5</v>
      </c>
      <c r="G280" s="9" t="s">
        <v>40</v>
      </c>
      <c r="H280" s="1" t="s">
        <v>6</v>
      </c>
      <c r="I280" s="2" t="s">
        <v>7</v>
      </c>
      <c r="J280" s="1" t="s">
        <v>8</v>
      </c>
      <c r="K280" s="1" t="s">
        <v>9</v>
      </c>
    </row>
    <row r="281" spans="1:11" x14ac:dyDescent="0.25">
      <c r="A281" s="3">
        <v>45313</v>
      </c>
      <c r="B281" t="s">
        <v>465</v>
      </c>
      <c r="C281" t="s">
        <v>466</v>
      </c>
      <c r="D281" t="s">
        <v>19</v>
      </c>
      <c r="F281" s="4">
        <v>10049</v>
      </c>
      <c r="G281" s="10" t="s">
        <v>467</v>
      </c>
      <c r="H281" t="s">
        <v>106</v>
      </c>
      <c r="I281" s="4">
        <v>80000</v>
      </c>
    </row>
    <row r="282" spans="1:11" x14ac:dyDescent="0.25">
      <c r="H282" t="s">
        <v>468</v>
      </c>
      <c r="I282" s="4">
        <v>5000</v>
      </c>
    </row>
    <row r="283" spans="1:11" x14ac:dyDescent="0.25">
      <c r="H283" t="s">
        <v>469</v>
      </c>
      <c r="I283" s="4">
        <v>70000</v>
      </c>
    </row>
    <row r="285" spans="1:11" x14ac:dyDescent="0.25">
      <c r="H285" t="s">
        <v>17</v>
      </c>
      <c r="I285" s="4">
        <f>SUM(I281:I284)</f>
        <v>155000</v>
      </c>
    </row>
    <row r="287" spans="1:11" x14ac:dyDescent="0.25">
      <c r="A287" s="1" t="s">
        <v>0</v>
      </c>
      <c r="B287" s="1" t="s">
        <v>1</v>
      </c>
      <c r="C287" s="1" t="s">
        <v>2</v>
      </c>
      <c r="D287" s="1" t="s">
        <v>3</v>
      </c>
      <c r="E287" s="1" t="s">
        <v>4</v>
      </c>
      <c r="F287" s="2" t="s">
        <v>5</v>
      </c>
      <c r="G287" s="9" t="s">
        <v>40</v>
      </c>
      <c r="H287" s="1" t="s">
        <v>6</v>
      </c>
      <c r="I287" s="2" t="s">
        <v>7</v>
      </c>
      <c r="J287" s="1" t="s">
        <v>8</v>
      </c>
      <c r="K287" s="1" t="s">
        <v>9</v>
      </c>
    </row>
    <row r="288" spans="1:11" x14ac:dyDescent="0.25">
      <c r="A288" s="3">
        <v>45313</v>
      </c>
      <c r="B288" t="s">
        <v>10</v>
      </c>
      <c r="C288" t="s">
        <v>470</v>
      </c>
      <c r="D288" t="s">
        <v>26</v>
      </c>
      <c r="G288" s="10" t="s">
        <v>471</v>
      </c>
      <c r="H288" t="s">
        <v>472</v>
      </c>
    </row>
    <row r="289" spans="1:11" x14ac:dyDescent="0.25">
      <c r="H289" t="s">
        <v>20</v>
      </c>
    </row>
    <row r="291" spans="1:11" x14ac:dyDescent="0.25">
      <c r="H291" t="s">
        <v>17</v>
      </c>
    </row>
    <row r="293" spans="1:11" x14ac:dyDescent="0.25">
      <c r="A293" s="1" t="s">
        <v>0</v>
      </c>
      <c r="B293" s="1" t="s">
        <v>1</v>
      </c>
      <c r="C293" s="1" t="s">
        <v>2</v>
      </c>
      <c r="D293" s="1" t="s">
        <v>3</v>
      </c>
      <c r="E293" s="1" t="s">
        <v>4</v>
      </c>
      <c r="F293" s="2" t="s">
        <v>5</v>
      </c>
      <c r="G293" s="9" t="s">
        <v>40</v>
      </c>
      <c r="H293" s="1" t="s">
        <v>6</v>
      </c>
      <c r="I293" s="2" t="s">
        <v>7</v>
      </c>
      <c r="J293" s="1" t="s">
        <v>8</v>
      </c>
      <c r="K293" s="1" t="s">
        <v>9</v>
      </c>
    </row>
    <row r="294" spans="1:11" x14ac:dyDescent="0.25">
      <c r="A294" s="3">
        <v>45314</v>
      </c>
      <c r="B294" t="s">
        <v>473</v>
      </c>
      <c r="C294" t="s">
        <v>474</v>
      </c>
      <c r="D294" t="s">
        <v>12</v>
      </c>
      <c r="G294" s="10" t="s">
        <v>411</v>
      </c>
      <c r="H294" t="s">
        <v>475</v>
      </c>
    </row>
    <row r="296" spans="1:11" x14ac:dyDescent="0.25">
      <c r="H296" t="s">
        <v>17</v>
      </c>
    </row>
    <row r="298" spans="1:11" x14ac:dyDescent="0.25">
      <c r="A298" s="1" t="s">
        <v>0</v>
      </c>
      <c r="B298" s="1" t="s">
        <v>1</v>
      </c>
      <c r="C298" s="1" t="s">
        <v>2</v>
      </c>
      <c r="D298" s="1" t="s">
        <v>3</v>
      </c>
      <c r="E298" s="1" t="s">
        <v>4</v>
      </c>
      <c r="F298" s="2" t="s">
        <v>5</v>
      </c>
      <c r="G298" s="9" t="s">
        <v>40</v>
      </c>
      <c r="H298" s="1" t="s">
        <v>6</v>
      </c>
      <c r="I298" s="2" t="s">
        <v>7</v>
      </c>
      <c r="J298" s="1" t="s">
        <v>8</v>
      </c>
      <c r="K298" s="1" t="s">
        <v>9</v>
      </c>
    </row>
    <row r="299" spans="1:11" x14ac:dyDescent="0.25">
      <c r="A299" s="3">
        <v>45314</v>
      </c>
      <c r="B299" t="s">
        <v>372</v>
      </c>
      <c r="C299" t="s">
        <v>373</v>
      </c>
      <c r="G299" s="10" t="s">
        <v>374</v>
      </c>
      <c r="H299" t="s">
        <v>375</v>
      </c>
    </row>
    <row r="301" spans="1:11" x14ac:dyDescent="0.25">
      <c r="H301" t="s">
        <v>17</v>
      </c>
    </row>
    <row r="303" spans="1:11" x14ac:dyDescent="0.25">
      <c r="A303" s="1" t="s">
        <v>0</v>
      </c>
      <c r="B303" s="1" t="s">
        <v>1</v>
      </c>
      <c r="C303" s="1" t="s">
        <v>2</v>
      </c>
      <c r="D303" s="1" t="s">
        <v>3</v>
      </c>
      <c r="E303" s="1" t="s">
        <v>4</v>
      </c>
      <c r="F303" s="2" t="s">
        <v>5</v>
      </c>
      <c r="G303" s="9" t="s">
        <v>40</v>
      </c>
      <c r="H303" s="1" t="s">
        <v>6</v>
      </c>
      <c r="I303" s="2" t="s">
        <v>7</v>
      </c>
      <c r="J303" s="1" t="s">
        <v>8</v>
      </c>
      <c r="K303" s="1" t="s">
        <v>9</v>
      </c>
    </row>
    <row r="304" spans="1:11" x14ac:dyDescent="0.25">
      <c r="A304" s="3">
        <v>45314</v>
      </c>
      <c r="B304" t="s">
        <v>376</v>
      </c>
      <c r="C304" t="s">
        <v>377</v>
      </c>
      <c r="E304">
        <v>2012</v>
      </c>
      <c r="F304" s="4">
        <v>67000</v>
      </c>
      <c r="G304" s="10" t="s">
        <v>378</v>
      </c>
      <c r="H304" t="s">
        <v>379</v>
      </c>
      <c r="I304" s="4">
        <v>12000</v>
      </c>
    </row>
    <row r="305" spans="1:11" x14ac:dyDescent="0.25">
      <c r="H305" t="s">
        <v>48</v>
      </c>
      <c r="I305" s="4">
        <v>90000</v>
      </c>
    </row>
    <row r="306" spans="1:11" x14ac:dyDescent="0.25">
      <c r="H306" t="s">
        <v>380</v>
      </c>
      <c r="I306" s="4">
        <v>22000</v>
      </c>
    </row>
    <row r="307" spans="1:11" x14ac:dyDescent="0.25">
      <c r="H307" t="s">
        <v>16</v>
      </c>
      <c r="I307" s="4">
        <v>30000</v>
      </c>
    </row>
    <row r="309" spans="1:11" x14ac:dyDescent="0.25">
      <c r="H309" t="s">
        <v>17</v>
      </c>
      <c r="I309" s="4">
        <f>SUM(I304:I308)</f>
        <v>154000</v>
      </c>
    </row>
    <row r="311" spans="1:11" x14ac:dyDescent="0.25">
      <c r="A311" s="1" t="s">
        <v>0</v>
      </c>
      <c r="B311" s="1" t="s">
        <v>1</v>
      </c>
      <c r="C311" s="1" t="s">
        <v>2</v>
      </c>
      <c r="D311" s="1" t="s">
        <v>3</v>
      </c>
      <c r="E311" s="1" t="s">
        <v>4</v>
      </c>
      <c r="F311" s="2" t="s">
        <v>5</v>
      </c>
      <c r="G311" s="9" t="s">
        <v>40</v>
      </c>
      <c r="H311" s="1" t="s">
        <v>6</v>
      </c>
      <c r="I311" s="2" t="s">
        <v>7</v>
      </c>
      <c r="J311" s="1" t="s">
        <v>8</v>
      </c>
      <c r="K311" s="1" t="s">
        <v>9</v>
      </c>
    </row>
    <row r="312" spans="1:11" x14ac:dyDescent="0.25">
      <c r="A312" s="3">
        <v>45314</v>
      </c>
      <c r="B312" t="s">
        <v>368</v>
      </c>
      <c r="C312" t="s">
        <v>369</v>
      </c>
      <c r="E312">
        <v>2020</v>
      </c>
      <c r="F312" s="4">
        <v>14285</v>
      </c>
      <c r="G312" s="10" t="s">
        <v>370</v>
      </c>
      <c r="H312" t="s">
        <v>371</v>
      </c>
    </row>
    <row r="314" spans="1:11" x14ac:dyDescent="0.25">
      <c r="H314" t="s">
        <v>17</v>
      </c>
    </row>
    <row r="316" spans="1:11" x14ac:dyDescent="0.25">
      <c r="A316" s="1" t="s">
        <v>0</v>
      </c>
      <c r="B316" s="1" t="s">
        <v>1</v>
      </c>
      <c r="C316" s="1" t="s">
        <v>2</v>
      </c>
      <c r="D316" s="1" t="s">
        <v>3</v>
      </c>
      <c r="E316" s="1" t="s">
        <v>4</v>
      </c>
      <c r="F316" s="2" t="s">
        <v>5</v>
      </c>
      <c r="G316" s="9" t="s">
        <v>40</v>
      </c>
      <c r="H316" s="1" t="s">
        <v>6</v>
      </c>
      <c r="I316" s="2" t="s">
        <v>7</v>
      </c>
      <c r="J316" s="1" t="s">
        <v>8</v>
      </c>
      <c r="K316" s="1" t="s">
        <v>9</v>
      </c>
    </row>
    <row r="317" spans="1:11" x14ac:dyDescent="0.25">
      <c r="A317" s="3">
        <v>45315</v>
      </c>
      <c r="B317" t="s">
        <v>10</v>
      </c>
      <c r="D317" t="s">
        <v>12</v>
      </c>
      <c r="G317" s="10" t="s">
        <v>146</v>
      </c>
      <c r="H317" t="s">
        <v>147</v>
      </c>
      <c r="I317" s="4">
        <v>619000</v>
      </c>
    </row>
    <row r="318" spans="1:11" x14ac:dyDescent="0.25">
      <c r="H318" t="s">
        <v>148</v>
      </c>
      <c r="I318" s="4">
        <v>350000</v>
      </c>
    </row>
    <row r="319" spans="1:11" x14ac:dyDescent="0.25">
      <c r="H319" t="s">
        <v>149</v>
      </c>
      <c r="I319" s="4">
        <v>1650000</v>
      </c>
    </row>
    <row r="320" spans="1:11" x14ac:dyDescent="0.25">
      <c r="H320" t="s">
        <v>150</v>
      </c>
      <c r="I320" s="4">
        <v>750000</v>
      </c>
    </row>
    <row r="321" spans="1:11" x14ac:dyDescent="0.25">
      <c r="H321" t="s">
        <v>55</v>
      </c>
      <c r="I321" s="4">
        <v>380000</v>
      </c>
    </row>
    <row r="322" spans="1:11" x14ac:dyDescent="0.25">
      <c r="H322" t="s">
        <v>151</v>
      </c>
      <c r="I322" s="4">
        <v>80000</v>
      </c>
    </row>
    <row r="323" spans="1:11" x14ac:dyDescent="0.25">
      <c r="H323" t="s">
        <v>33</v>
      </c>
      <c r="I323" s="4">
        <v>20000</v>
      </c>
    </row>
    <row r="324" spans="1:11" x14ac:dyDescent="0.25">
      <c r="H324" t="s">
        <v>152</v>
      </c>
      <c r="I324" s="4">
        <v>50000</v>
      </c>
    </row>
    <row r="325" spans="1:11" x14ac:dyDescent="0.25">
      <c r="I325" s="4">
        <v>150000</v>
      </c>
    </row>
    <row r="327" spans="1:11" x14ac:dyDescent="0.25">
      <c r="H327" t="s">
        <v>17</v>
      </c>
      <c r="I327" s="4">
        <f>SUM(I317:I326)</f>
        <v>4049000</v>
      </c>
    </row>
    <row r="329" spans="1:11" x14ac:dyDescent="0.25">
      <c r="A329" s="1" t="s">
        <v>0</v>
      </c>
      <c r="B329" s="1" t="s">
        <v>1</v>
      </c>
      <c r="C329" s="1" t="s">
        <v>2</v>
      </c>
      <c r="D329" s="1" t="s">
        <v>3</v>
      </c>
      <c r="E329" s="1" t="s">
        <v>4</v>
      </c>
      <c r="F329" s="2" t="s">
        <v>5</v>
      </c>
      <c r="G329" s="9" t="s">
        <v>40</v>
      </c>
      <c r="H329" s="1" t="s">
        <v>6</v>
      </c>
      <c r="I329" s="2" t="s">
        <v>7</v>
      </c>
      <c r="J329" s="1" t="s">
        <v>8</v>
      </c>
      <c r="K329" s="1" t="s">
        <v>9</v>
      </c>
    </row>
    <row r="330" spans="1:11" x14ac:dyDescent="0.25">
      <c r="A330" s="3">
        <v>45315</v>
      </c>
      <c r="B330" t="s">
        <v>153</v>
      </c>
      <c r="C330" t="s">
        <v>1240</v>
      </c>
      <c r="D330" t="s">
        <v>19</v>
      </c>
      <c r="H330" t="s">
        <v>154</v>
      </c>
      <c r="I330" s="4">
        <v>160000</v>
      </c>
    </row>
    <row r="331" spans="1:11" x14ac:dyDescent="0.25">
      <c r="H331" t="s">
        <v>155</v>
      </c>
      <c r="I331" s="4">
        <v>120000</v>
      </c>
    </row>
    <row r="332" spans="1:11" x14ac:dyDescent="0.25">
      <c r="H332" t="s">
        <v>156</v>
      </c>
      <c r="I332" s="4">
        <v>600000</v>
      </c>
    </row>
    <row r="333" spans="1:11" x14ac:dyDescent="0.25">
      <c r="H333" t="s">
        <v>47</v>
      </c>
      <c r="I333" s="4">
        <v>70000</v>
      </c>
    </row>
    <row r="334" spans="1:11" x14ac:dyDescent="0.25">
      <c r="H334" t="s">
        <v>14</v>
      </c>
      <c r="I334" s="4">
        <v>165000</v>
      </c>
    </row>
    <row r="335" spans="1:11" x14ac:dyDescent="0.25">
      <c r="H335" t="s">
        <v>15</v>
      </c>
      <c r="I335" s="4">
        <v>46000</v>
      </c>
    </row>
    <row r="336" spans="1:11" x14ac:dyDescent="0.25">
      <c r="H336" t="s">
        <v>157</v>
      </c>
      <c r="I336" s="4">
        <v>40000</v>
      </c>
    </row>
    <row r="337" spans="1:11" x14ac:dyDescent="0.25">
      <c r="H337" t="s">
        <v>158</v>
      </c>
      <c r="I337" s="4">
        <v>30000</v>
      </c>
    </row>
    <row r="339" spans="1:11" x14ac:dyDescent="0.25">
      <c r="H339" t="s">
        <v>17</v>
      </c>
      <c r="I339" s="4">
        <f>SUM(I330:I338)</f>
        <v>1231000</v>
      </c>
    </row>
    <row r="341" spans="1:11" x14ac:dyDescent="0.25">
      <c r="A341" s="1" t="s">
        <v>0</v>
      </c>
      <c r="B341" s="1" t="s">
        <v>1</v>
      </c>
      <c r="C341" s="1" t="s">
        <v>2</v>
      </c>
      <c r="D341" s="1" t="s">
        <v>3</v>
      </c>
      <c r="E341" s="1" t="s">
        <v>4</v>
      </c>
      <c r="F341" s="2" t="s">
        <v>5</v>
      </c>
      <c r="G341" s="9" t="s">
        <v>40</v>
      </c>
      <c r="H341" s="1" t="s">
        <v>6</v>
      </c>
      <c r="I341" s="2" t="s">
        <v>7</v>
      </c>
      <c r="J341" s="1" t="s">
        <v>8</v>
      </c>
      <c r="K341" s="1" t="s">
        <v>9</v>
      </c>
    </row>
    <row r="342" spans="1:11" x14ac:dyDescent="0.25">
      <c r="A342" s="3">
        <v>45315</v>
      </c>
      <c r="B342" t="s">
        <v>10</v>
      </c>
      <c r="C342" t="s">
        <v>159</v>
      </c>
      <c r="D342" t="s">
        <v>26</v>
      </c>
      <c r="F342" s="4">
        <v>45581</v>
      </c>
      <c r="G342" s="10" t="s">
        <v>160</v>
      </c>
      <c r="H342" t="s">
        <v>61</v>
      </c>
      <c r="I342" s="4">
        <v>140000</v>
      </c>
    </row>
    <row r="343" spans="1:11" x14ac:dyDescent="0.25">
      <c r="H343" t="s">
        <v>161</v>
      </c>
      <c r="I343" s="4">
        <v>15000</v>
      </c>
    </row>
    <row r="344" spans="1:11" x14ac:dyDescent="0.25">
      <c r="H344" t="s">
        <v>14</v>
      </c>
      <c r="I344" s="4">
        <v>222000</v>
      </c>
    </row>
    <row r="345" spans="1:11" x14ac:dyDescent="0.25">
      <c r="H345" t="s">
        <v>15</v>
      </c>
      <c r="I345" s="4">
        <v>46000</v>
      </c>
    </row>
    <row r="346" spans="1:11" x14ac:dyDescent="0.25">
      <c r="H346" t="s">
        <v>162</v>
      </c>
      <c r="I346" s="4">
        <v>170000</v>
      </c>
    </row>
    <row r="348" spans="1:11" x14ac:dyDescent="0.25">
      <c r="H348" t="s">
        <v>17</v>
      </c>
      <c r="I348" s="4">
        <f>SUM(I342:I347)</f>
        <v>593000</v>
      </c>
    </row>
    <row r="350" spans="1:11" x14ac:dyDescent="0.25">
      <c r="A350" s="1" t="s">
        <v>0</v>
      </c>
      <c r="B350" s="1" t="s">
        <v>1</v>
      </c>
      <c r="C350" s="1" t="s">
        <v>2</v>
      </c>
      <c r="D350" s="1" t="s">
        <v>3</v>
      </c>
      <c r="E350" s="1" t="s">
        <v>4</v>
      </c>
      <c r="F350" s="2" t="s">
        <v>5</v>
      </c>
      <c r="G350" s="9" t="s">
        <v>40</v>
      </c>
      <c r="H350" s="1" t="s">
        <v>6</v>
      </c>
      <c r="I350" s="2" t="s">
        <v>7</v>
      </c>
      <c r="J350" s="1" t="s">
        <v>8</v>
      </c>
      <c r="K350" s="1" t="s">
        <v>9</v>
      </c>
    </row>
    <row r="351" spans="1:11" x14ac:dyDescent="0.25">
      <c r="A351" s="3">
        <v>45315</v>
      </c>
      <c r="B351" t="s">
        <v>363</v>
      </c>
      <c r="C351" t="s">
        <v>364</v>
      </c>
      <c r="E351">
        <v>2018</v>
      </c>
      <c r="F351" s="4">
        <v>38500</v>
      </c>
      <c r="G351" s="10" t="s">
        <v>365</v>
      </c>
      <c r="H351" t="s">
        <v>366</v>
      </c>
    </row>
    <row r="352" spans="1:11" x14ac:dyDescent="0.25">
      <c r="H352" t="s">
        <v>367</v>
      </c>
    </row>
    <row r="354" spans="1:11" x14ac:dyDescent="0.25">
      <c r="H354" t="s">
        <v>17</v>
      </c>
    </row>
    <row r="356" spans="1:11" x14ac:dyDescent="0.25">
      <c r="A356" s="1" t="s">
        <v>0</v>
      </c>
      <c r="B356" s="1" t="s">
        <v>1</v>
      </c>
      <c r="C356" s="1" t="s">
        <v>2</v>
      </c>
      <c r="D356" s="1" t="s">
        <v>3</v>
      </c>
      <c r="E356" s="1" t="s">
        <v>4</v>
      </c>
      <c r="F356" s="2" t="s">
        <v>5</v>
      </c>
      <c r="G356" s="9" t="s">
        <v>40</v>
      </c>
      <c r="H356" s="1" t="s">
        <v>6</v>
      </c>
      <c r="I356" s="2" t="s">
        <v>7</v>
      </c>
      <c r="J356" s="1" t="s">
        <v>8</v>
      </c>
      <c r="K356" s="1" t="s">
        <v>9</v>
      </c>
    </row>
    <row r="357" spans="1:11" x14ac:dyDescent="0.25">
      <c r="A357" s="3">
        <v>45316</v>
      </c>
      <c r="B357" t="s">
        <v>163</v>
      </c>
      <c r="C357" t="s">
        <v>164</v>
      </c>
      <c r="D357" t="s">
        <v>19</v>
      </c>
      <c r="F357" s="4">
        <v>130669</v>
      </c>
      <c r="H357" t="s">
        <v>165</v>
      </c>
      <c r="I357" s="4">
        <v>12000</v>
      </c>
    </row>
    <row r="358" spans="1:11" x14ac:dyDescent="0.25">
      <c r="H358" t="s">
        <v>166</v>
      </c>
      <c r="I358" s="4">
        <v>5000</v>
      </c>
    </row>
    <row r="359" spans="1:11" x14ac:dyDescent="0.25">
      <c r="H359" t="s">
        <v>167</v>
      </c>
      <c r="I359" s="4">
        <v>6000</v>
      </c>
    </row>
    <row r="361" spans="1:11" x14ac:dyDescent="0.25">
      <c r="H361" t="s">
        <v>17</v>
      </c>
      <c r="I361" s="4">
        <f>SUM(I357:I360)</f>
        <v>23000</v>
      </c>
    </row>
    <row r="363" spans="1:11" x14ac:dyDescent="0.25">
      <c r="A363" s="1" t="s">
        <v>0</v>
      </c>
      <c r="B363" s="1" t="s">
        <v>1</v>
      </c>
      <c r="C363" s="1" t="s">
        <v>2</v>
      </c>
      <c r="D363" s="1" t="s">
        <v>3</v>
      </c>
      <c r="E363" s="1" t="s">
        <v>4</v>
      </c>
      <c r="F363" s="2" t="s">
        <v>5</v>
      </c>
      <c r="G363" s="9" t="s">
        <v>40</v>
      </c>
      <c r="H363" s="1" t="s">
        <v>6</v>
      </c>
      <c r="I363" s="2" t="s">
        <v>7</v>
      </c>
      <c r="J363" s="1" t="s">
        <v>8</v>
      </c>
      <c r="K363" s="1" t="s">
        <v>9</v>
      </c>
    </row>
    <row r="364" spans="1:11" x14ac:dyDescent="0.25">
      <c r="A364" s="3">
        <v>45316</v>
      </c>
      <c r="B364" t="s">
        <v>168</v>
      </c>
      <c r="C364" t="s">
        <v>169</v>
      </c>
      <c r="H364" t="s">
        <v>170</v>
      </c>
      <c r="I364" s="4">
        <v>6000</v>
      </c>
    </row>
    <row r="366" spans="1:11" x14ac:dyDescent="0.25">
      <c r="H366" t="s">
        <v>17</v>
      </c>
      <c r="I366" s="4">
        <v>6000</v>
      </c>
    </row>
    <row r="368" spans="1:11" x14ac:dyDescent="0.25">
      <c r="A368" s="1" t="s">
        <v>0</v>
      </c>
      <c r="B368" s="1" t="s">
        <v>1</v>
      </c>
      <c r="C368" s="1" t="s">
        <v>2</v>
      </c>
      <c r="D368" s="1" t="s">
        <v>3</v>
      </c>
      <c r="E368" s="1" t="s">
        <v>4</v>
      </c>
      <c r="F368" s="2" t="s">
        <v>5</v>
      </c>
      <c r="G368" s="9" t="s">
        <v>40</v>
      </c>
      <c r="H368" s="1" t="s">
        <v>6</v>
      </c>
      <c r="I368" s="2" t="s">
        <v>7</v>
      </c>
      <c r="J368" s="1" t="s">
        <v>8</v>
      </c>
      <c r="K368" s="1" t="s">
        <v>9</v>
      </c>
    </row>
    <row r="369" spans="1:11" x14ac:dyDescent="0.25">
      <c r="A369" s="3">
        <v>45316</v>
      </c>
      <c r="B369" t="s">
        <v>171</v>
      </c>
      <c r="C369" t="s">
        <v>172</v>
      </c>
      <c r="F369" s="4">
        <v>23709</v>
      </c>
      <c r="H369" t="s">
        <v>48</v>
      </c>
      <c r="I369" s="4">
        <v>35000</v>
      </c>
    </row>
    <row r="370" spans="1:11" x14ac:dyDescent="0.25">
      <c r="H370" t="s">
        <v>173</v>
      </c>
      <c r="I370" s="4">
        <v>5000</v>
      </c>
    </row>
    <row r="371" spans="1:11" x14ac:dyDescent="0.25">
      <c r="H371" t="s">
        <v>174</v>
      </c>
      <c r="I371" s="4">
        <v>30000</v>
      </c>
    </row>
    <row r="373" spans="1:11" x14ac:dyDescent="0.25">
      <c r="H373" t="s">
        <v>17</v>
      </c>
      <c r="I373" s="4">
        <f>SUM(I369:I372)</f>
        <v>70000</v>
      </c>
    </row>
    <row r="375" spans="1:11" x14ac:dyDescent="0.25">
      <c r="A375" s="1" t="s">
        <v>0</v>
      </c>
      <c r="B375" s="1" t="s">
        <v>1</v>
      </c>
      <c r="C375" s="1" t="s">
        <v>2</v>
      </c>
      <c r="D375" s="1" t="s">
        <v>3</v>
      </c>
      <c r="E375" s="1" t="s">
        <v>4</v>
      </c>
      <c r="F375" s="2" t="s">
        <v>5</v>
      </c>
      <c r="G375" s="9" t="s">
        <v>40</v>
      </c>
      <c r="H375" s="1" t="s">
        <v>6</v>
      </c>
      <c r="I375" s="2" t="s">
        <v>7</v>
      </c>
      <c r="J375" s="1" t="s">
        <v>8</v>
      </c>
      <c r="K375" s="1" t="s">
        <v>9</v>
      </c>
    </row>
    <row r="376" spans="1:11" x14ac:dyDescent="0.25">
      <c r="A376" s="3">
        <v>45316</v>
      </c>
      <c r="B376" t="s">
        <v>10</v>
      </c>
      <c r="C376" t="s">
        <v>175</v>
      </c>
      <c r="D376" t="s">
        <v>26</v>
      </c>
      <c r="E376">
        <v>2023</v>
      </c>
      <c r="F376" s="4">
        <v>25</v>
      </c>
      <c r="G376" s="10" t="s">
        <v>176</v>
      </c>
      <c r="H376" t="s">
        <v>178</v>
      </c>
      <c r="I376" s="4">
        <v>320000</v>
      </c>
    </row>
    <row r="377" spans="1:11" x14ac:dyDescent="0.25">
      <c r="H377" t="s">
        <v>179</v>
      </c>
      <c r="I377" s="4">
        <v>1500000</v>
      </c>
    </row>
    <row r="378" spans="1:11" x14ac:dyDescent="0.25">
      <c r="H378" t="s">
        <v>180</v>
      </c>
      <c r="I378" s="4">
        <v>500000</v>
      </c>
    </row>
    <row r="379" spans="1:11" x14ac:dyDescent="0.25">
      <c r="H379" t="s">
        <v>181</v>
      </c>
      <c r="I379" s="4">
        <v>320000</v>
      </c>
    </row>
    <row r="380" spans="1:11" x14ac:dyDescent="0.25">
      <c r="H380" t="s">
        <v>182</v>
      </c>
      <c r="I380" s="4">
        <v>260000</v>
      </c>
    </row>
    <row r="381" spans="1:11" x14ac:dyDescent="0.25">
      <c r="H381" t="s">
        <v>183</v>
      </c>
    </row>
    <row r="382" spans="1:11" x14ac:dyDescent="0.25">
      <c r="H382" t="s">
        <v>184</v>
      </c>
      <c r="I382" s="4">
        <v>500000</v>
      </c>
    </row>
    <row r="383" spans="1:11" x14ac:dyDescent="0.25">
      <c r="H383" t="s">
        <v>185</v>
      </c>
      <c r="I383" s="4">
        <v>500000</v>
      </c>
    </row>
    <row r="384" spans="1:11" x14ac:dyDescent="0.25">
      <c r="H384" t="s">
        <v>186</v>
      </c>
      <c r="I384" s="4">
        <v>1900000</v>
      </c>
    </row>
    <row r="385" spans="1:11" x14ac:dyDescent="0.25">
      <c r="H385" t="s">
        <v>187</v>
      </c>
    </row>
    <row r="386" spans="1:11" x14ac:dyDescent="0.25">
      <c r="H386" t="s">
        <v>188</v>
      </c>
      <c r="I386" s="4">
        <v>1238000</v>
      </c>
    </row>
    <row r="387" spans="1:11" x14ac:dyDescent="0.25">
      <c r="H387" t="s">
        <v>189</v>
      </c>
      <c r="I387" s="4">
        <v>560000</v>
      </c>
    </row>
    <row r="388" spans="1:11" x14ac:dyDescent="0.25">
      <c r="H388" t="s">
        <v>190</v>
      </c>
      <c r="I388" s="4">
        <v>360000</v>
      </c>
    </row>
    <row r="389" spans="1:11" x14ac:dyDescent="0.25">
      <c r="H389" t="s">
        <v>191</v>
      </c>
      <c r="I389" s="4">
        <v>-200000</v>
      </c>
    </row>
    <row r="391" spans="1:11" x14ac:dyDescent="0.25">
      <c r="H391" t="s">
        <v>17</v>
      </c>
      <c r="I391" s="4">
        <f>SUM(I376:I390)</f>
        <v>7758000</v>
      </c>
    </row>
    <row r="393" spans="1:11" x14ac:dyDescent="0.25">
      <c r="A393" s="1" t="s">
        <v>0</v>
      </c>
      <c r="B393" s="1" t="s">
        <v>1</v>
      </c>
      <c r="C393" s="1" t="s">
        <v>2</v>
      </c>
      <c r="D393" s="1" t="s">
        <v>3</v>
      </c>
      <c r="E393" s="1" t="s">
        <v>4</v>
      </c>
      <c r="F393" s="2" t="s">
        <v>5</v>
      </c>
      <c r="G393" s="9" t="s">
        <v>40</v>
      </c>
      <c r="H393" s="1" t="s">
        <v>6</v>
      </c>
      <c r="I393" s="2" t="s">
        <v>7</v>
      </c>
      <c r="J393" s="1" t="s">
        <v>8</v>
      </c>
      <c r="K393" s="1" t="s">
        <v>9</v>
      </c>
    </row>
    <row r="394" spans="1:11" x14ac:dyDescent="0.25">
      <c r="A394" s="3">
        <v>45316</v>
      </c>
      <c r="B394" t="s">
        <v>10</v>
      </c>
      <c r="D394" t="s">
        <v>26</v>
      </c>
      <c r="E394">
        <v>2023</v>
      </c>
      <c r="F394" s="4">
        <v>25</v>
      </c>
      <c r="G394" s="10" t="s">
        <v>177</v>
      </c>
      <c r="H394" t="s">
        <v>178</v>
      </c>
      <c r="I394" s="4">
        <v>320000</v>
      </c>
    </row>
    <row r="395" spans="1:11" x14ac:dyDescent="0.25">
      <c r="H395" t="s">
        <v>179</v>
      </c>
      <c r="I395" s="4">
        <v>1500000</v>
      </c>
    </row>
    <row r="396" spans="1:11" x14ac:dyDescent="0.25">
      <c r="H396" t="s">
        <v>180</v>
      </c>
      <c r="I396" s="4">
        <v>500000</v>
      </c>
    </row>
    <row r="397" spans="1:11" x14ac:dyDescent="0.25">
      <c r="H397" t="s">
        <v>181</v>
      </c>
      <c r="I397" s="4">
        <v>320000</v>
      </c>
    </row>
    <row r="398" spans="1:11" x14ac:dyDescent="0.25">
      <c r="H398" t="s">
        <v>182</v>
      </c>
      <c r="I398" s="4">
        <v>260000</v>
      </c>
    </row>
    <row r="399" spans="1:11" x14ac:dyDescent="0.25">
      <c r="H399" t="s">
        <v>183</v>
      </c>
    </row>
    <row r="400" spans="1:11" x14ac:dyDescent="0.25">
      <c r="H400" t="s">
        <v>184</v>
      </c>
      <c r="I400" s="4">
        <v>500000</v>
      </c>
    </row>
    <row r="401" spans="1:11" x14ac:dyDescent="0.25">
      <c r="H401" t="s">
        <v>185</v>
      </c>
      <c r="I401" s="4">
        <v>500000</v>
      </c>
    </row>
    <row r="402" spans="1:11" x14ac:dyDescent="0.25">
      <c r="H402" t="s">
        <v>186</v>
      </c>
      <c r="I402" s="4">
        <v>1900000</v>
      </c>
    </row>
    <row r="403" spans="1:11" x14ac:dyDescent="0.25">
      <c r="H403" t="s">
        <v>187</v>
      </c>
    </row>
    <row r="404" spans="1:11" x14ac:dyDescent="0.25">
      <c r="H404" t="s">
        <v>188</v>
      </c>
      <c r="I404" s="4">
        <v>1238000</v>
      </c>
    </row>
    <row r="405" spans="1:11" x14ac:dyDescent="0.25">
      <c r="H405" t="s">
        <v>189</v>
      </c>
      <c r="I405" s="4">
        <v>560000</v>
      </c>
    </row>
    <row r="406" spans="1:11" x14ac:dyDescent="0.25">
      <c r="H406" t="s">
        <v>190</v>
      </c>
      <c r="I406" s="4">
        <v>360000</v>
      </c>
    </row>
    <row r="407" spans="1:11" x14ac:dyDescent="0.25">
      <c r="H407" t="s">
        <v>191</v>
      </c>
      <c r="I407" s="4">
        <v>-200000</v>
      </c>
    </row>
    <row r="409" spans="1:11" x14ac:dyDescent="0.25">
      <c r="H409" t="s">
        <v>17</v>
      </c>
      <c r="I409" s="4">
        <f>SUM(I394:I408)</f>
        <v>7758000</v>
      </c>
    </row>
    <row r="411" spans="1:11" x14ac:dyDescent="0.25">
      <c r="A411" s="1" t="s">
        <v>0</v>
      </c>
      <c r="B411" s="1" t="s">
        <v>1</v>
      </c>
      <c r="C411" s="1" t="s">
        <v>2</v>
      </c>
      <c r="D411" s="1" t="s">
        <v>3</v>
      </c>
      <c r="E411" s="1" t="s">
        <v>4</v>
      </c>
      <c r="F411" s="2" t="s">
        <v>5</v>
      </c>
      <c r="G411" s="9" t="s">
        <v>40</v>
      </c>
      <c r="H411" s="1" t="s">
        <v>6</v>
      </c>
      <c r="I411" s="2" t="s">
        <v>7</v>
      </c>
      <c r="J411" s="1" t="s">
        <v>8</v>
      </c>
      <c r="K411" s="1" t="s">
        <v>9</v>
      </c>
    </row>
    <row r="412" spans="1:11" x14ac:dyDescent="0.25">
      <c r="A412" s="3">
        <v>45316</v>
      </c>
      <c r="B412" t="s">
        <v>10</v>
      </c>
      <c r="D412" t="s">
        <v>19</v>
      </c>
      <c r="G412" s="10" t="s">
        <v>192</v>
      </c>
      <c r="H412" t="s">
        <v>193</v>
      </c>
      <c r="I412" s="4">
        <v>853000</v>
      </c>
    </row>
    <row r="413" spans="1:11" x14ac:dyDescent="0.25">
      <c r="H413" t="s">
        <v>194</v>
      </c>
      <c r="I413" s="4">
        <v>120000</v>
      </c>
    </row>
    <row r="414" spans="1:11" x14ac:dyDescent="0.25">
      <c r="H414" t="s">
        <v>14</v>
      </c>
      <c r="I414" s="4">
        <v>208000</v>
      </c>
    </row>
    <row r="415" spans="1:11" x14ac:dyDescent="0.25">
      <c r="H415" t="s">
        <v>15</v>
      </c>
      <c r="I415" s="4">
        <v>46000</v>
      </c>
    </row>
    <row r="416" spans="1:11" x14ac:dyDescent="0.25">
      <c r="H416" t="s">
        <v>50</v>
      </c>
      <c r="I416" s="4">
        <v>105000</v>
      </c>
    </row>
    <row r="417" spans="1:11" x14ac:dyDescent="0.25">
      <c r="H417" t="s">
        <v>195</v>
      </c>
      <c r="I417" s="4">
        <v>40000</v>
      </c>
    </row>
    <row r="418" spans="1:11" x14ac:dyDescent="0.25">
      <c r="H418" t="s">
        <v>20</v>
      </c>
      <c r="I418" s="4">
        <v>140000</v>
      </c>
    </row>
    <row r="420" spans="1:11" x14ac:dyDescent="0.25">
      <c r="H420" t="s">
        <v>17</v>
      </c>
      <c r="I420" s="4">
        <f>SUM(I412:I419)</f>
        <v>1512000</v>
      </c>
    </row>
    <row r="422" spans="1:11" x14ac:dyDescent="0.25">
      <c r="A422" s="1" t="s">
        <v>0</v>
      </c>
      <c r="B422" s="1" t="s">
        <v>1</v>
      </c>
      <c r="C422" s="1" t="s">
        <v>2</v>
      </c>
      <c r="D422" s="1" t="s">
        <v>3</v>
      </c>
      <c r="E422" s="1" t="s">
        <v>4</v>
      </c>
      <c r="F422" s="2" t="s">
        <v>5</v>
      </c>
      <c r="G422" s="9" t="s">
        <v>40</v>
      </c>
      <c r="H422" s="1" t="s">
        <v>6</v>
      </c>
      <c r="I422" s="2" t="s">
        <v>7</v>
      </c>
      <c r="J422" s="1" t="s">
        <v>8</v>
      </c>
      <c r="K422" s="1" t="s">
        <v>9</v>
      </c>
    </row>
    <row r="423" spans="1:11" x14ac:dyDescent="0.25">
      <c r="A423" s="3">
        <v>45317</v>
      </c>
      <c r="B423" t="s">
        <v>201</v>
      </c>
      <c r="C423" t="s">
        <v>202</v>
      </c>
      <c r="E423">
        <v>2022</v>
      </c>
      <c r="F423" s="4">
        <v>27306</v>
      </c>
      <c r="G423" s="10" t="s">
        <v>203</v>
      </c>
      <c r="H423" t="s">
        <v>204</v>
      </c>
    </row>
    <row r="425" spans="1:11" x14ac:dyDescent="0.25">
      <c r="H425" t="s">
        <v>17</v>
      </c>
    </row>
    <row r="427" spans="1:11" x14ac:dyDescent="0.25">
      <c r="A427" s="1" t="s">
        <v>0</v>
      </c>
      <c r="B427" s="1" t="s">
        <v>1</v>
      </c>
      <c r="C427" s="1" t="s">
        <v>2</v>
      </c>
      <c r="D427" s="1" t="s">
        <v>3</v>
      </c>
      <c r="E427" s="1" t="s">
        <v>4</v>
      </c>
      <c r="F427" s="2" t="s">
        <v>5</v>
      </c>
      <c r="G427" s="9" t="s">
        <v>40</v>
      </c>
      <c r="H427" s="1" t="s">
        <v>6</v>
      </c>
      <c r="I427" s="2" t="s">
        <v>7</v>
      </c>
      <c r="J427" s="1" t="s">
        <v>8</v>
      </c>
      <c r="K427" s="1" t="s">
        <v>9</v>
      </c>
    </row>
    <row r="428" spans="1:11" x14ac:dyDescent="0.25">
      <c r="A428" s="3">
        <v>45317</v>
      </c>
      <c r="B428" t="s">
        <v>359</v>
      </c>
      <c r="C428" t="s">
        <v>360</v>
      </c>
      <c r="D428" t="s">
        <v>31</v>
      </c>
      <c r="E428">
        <v>2015</v>
      </c>
      <c r="F428" s="4">
        <v>71884</v>
      </c>
      <c r="G428" s="10" t="s">
        <v>361</v>
      </c>
      <c r="H428" t="s">
        <v>309</v>
      </c>
    </row>
    <row r="429" spans="1:11" x14ac:dyDescent="0.25">
      <c r="H429" t="s">
        <v>362</v>
      </c>
    </row>
    <row r="431" spans="1:11" x14ac:dyDescent="0.25">
      <c r="H431" t="s">
        <v>17</v>
      </c>
    </row>
    <row r="433" spans="1:11" x14ac:dyDescent="0.25">
      <c r="A433" s="1" t="s">
        <v>0</v>
      </c>
      <c r="B433" s="1" t="s">
        <v>1</v>
      </c>
      <c r="C433" s="1" t="s">
        <v>2</v>
      </c>
      <c r="D433" s="1" t="s">
        <v>3</v>
      </c>
      <c r="E433" s="1" t="s">
        <v>4</v>
      </c>
      <c r="F433" s="2" t="s">
        <v>5</v>
      </c>
      <c r="G433" s="9" t="s">
        <v>40</v>
      </c>
      <c r="H433" s="1" t="s">
        <v>6</v>
      </c>
      <c r="I433" s="2" t="s">
        <v>7</v>
      </c>
      <c r="J433" s="1" t="s">
        <v>8</v>
      </c>
      <c r="K433" s="1" t="s">
        <v>9</v>
      </c>
    </row>
    <row r="434" spans="1:11" x14ac:dyDescent="0.25">
      <c r="A434" s="3">
        <v>45317</v>
      </c>
      <c r="B434" t="s">
        <v>10</v>
      </c>
      <c r="C434" t="s">
        <v>476</v>
      </c>
      <c r="H434" t="s">
        <v>477</v>
      </c>
    </row>
    <row r="435" spans="1:11" x14ac:dyDescent="0.25">
      <c r="H435" t="s">
        <v>478</v>
      </c>
    </row>
    <row r="436" spans="1:11" x14ac:dyDescent="0.25">
      <c r="H436" t="s">
        <v>479</v>
      </c>
    </row>
    <row r="437" spans="1:11" x14ac:dyDescent="0.25">
      <c r="H437" t="s">
        <v>20</v>
      </c>
    </row>
    <row r="438" spans="1:11" x14ac:dyDescent="0.25">
      <c r="H438" t="s">
        <v>61</v>
      </c>
    </row>
    <row r="439" spans="1:11" x14ac:dyDescent="0.25">
      <c r="H439" t="s">
        <v>480</v>
      </c>
    </row>
    <row r="441" spans="1:11" x14ac:dyDescent="0.25">
      <c r="H441" t="s">
        <v>17</v>
      </c>
    </row>
    <row r="443" spans="1:11" x14ac:dyDescent="0.25">
      <c r="A443" s="1" t="s">
        <v>0</v>
      </c>
      <c r="B443" s="1" t="s">
        <v>1</v>
      </c>
      <c r="C443" s="1" t="s">
        <v>2</v>
      </c>
      <c r="D443" s="1" t="s">
        <v>3</v>
      </c>
      <c r="E443" s="1" t="s">
        <v>4</v>
      </c>
      <c r="F443" s="2" t="s">
        <v>5</v>
      </c>
      <c r="G443" s="9" t="s">
        <v>40</v>
      </c>
      <c r="H443" s="1" t="s">
        <v>6</v>
      </c>
      <c r="I443" s="2" t="s">
        <v>7</v>
      </c>
      <c r="J443" s="1" t="s">
        <v>8</v>
      </c>
      <c r="K443" s="1" t="s">
        <v>9</v>
      </c>
    </row>
    <row r="444" spans="1:11" x14ac:dyDescent="0.25">
      <c r="A444" s="3">
        <v>45318</v>
      </c>
      <c r="B444" t="s">
        <v>29</v>
      </c>
      <c r="C444" t="s">
        <v>481</v>
      </c>
      <c r="D444" t="s">
        <v>12</v>
      </c>
      <c r="F444" s="4">
        <v>150271</v>
      </c>
      <c r="G444" s="10" t="s">
        <v>482</v>
      </c>
      <c r="H444" t="s">
        <v>266</v>
      </c>
    </row>
    <row r="445" spans="1:11" x14ac:dyDescent="0.25">
      <c r="H445" t="s">
        <v>33</v>
      </c>
    </row>
    <row r="447" spans="1:11" x14ac:dyDescent="0.25">
      <c r="H447" t="s">
        <v>483</v>
      </c>
    </row>
    <row r="449" spans="1:11" x14ac:dyDescent="0.25">
      <c r="A449" s="1" t="s">
        <v>0</v>
      </c>
      <c r="B449" s="1" t="s">
        <v>1</v>
      </c>
      <c r="C449" s="1" t="s">
        <v>2</v>
      </c>
      <c r="D449" s="1" t="s">
        <v>3</v>
      </c>
      <c r="E449" s="1" t="s">
        <v>4</v>
      </c>
      <c r="F449" s="2" t="s">
        <v>5</v>
      </c>
      <c r="G449" s="9" t="s">
        <v>40</v>
      </c>
      <c r="H449" s="1" t="s">
        <v>6</v>
      </c>
      <c r="I449" s="2" t="s">
        <v>7</v>
      </c>
      <c r="J449" s="1" t="s">
        <v>8</v>
      </c>
      <c r="K449" s="1" t="s">
        <v>9</v>
      </c>
    </row>
    <row r="450" spans="1:11" x14ac:dyDescent="0.25">
      <c r="A450" s="3">
        <v>45318</v>
      </c>
      <c r="B450" t="s">
        <v>196</v>
      </c>
      <c r="C450" t="s">
        <v>197</v>
      </c>
      <c r="D450" t="s">
        <v>82</v>
      </c>
      <c r="E450">
        <v>2015</v>
      </c>
      <c r="G450" s="10" t="s">
        <v>198</v>
      </c>
      <c r="H450" t="s">
        <v>39</v>
      </c>
      <c r="I450" s="4">
        <v>240000</v>
      </c>
    </row>
    <row r="451" spans="1:11" x14ac:dyDescent="0.25">
      <c r="H451" t="s">
        <v>199</v>
      </c>
      <c r="I451" s="4">
        <v>80000</v>
      </c>
    </row>
    <row r="452" spans="1:11" x14ac:dyDescent="0.25">
      <c r="H452" t="s">
        <v>97</v>
      </c>
      <c r="I452" s="4">
        <v>40000</v>
      </c>
    </row>
    <row r="453" spans="1:11" x14ac:dyDescent="0.25">
      <c r="H453" t="s">
        <v>200</v>
      </c>
      <c r="I453" s="4">
        <v>15000</v>
      </c>
    </row>
    <row r="455" spans="1:11" x14ac:dyDescent="0.25">
      <c r="H455" t="s">
        <v>17</v>
      </c>
      <c r="I455" s="4">
        <f>SUM(I450:I454)</f>
        <v>375000</v>
      </c>
    </row>
    <row r="457" spans="1:11" x14ac:dyDescent="0.25">
      <c r="A457" s="1" t="s">
        <v>0</v>
      </c>
      <c r="B457" s="1" t="s">
        <v>1</v>
      </c>
      <c r="C457" s="1" t="s">
        <v>2</v>
      </c>
      <c r="D457" s="1" t="s">
        <v>3</v>
      </c>
      <c r="E457" s="1" t="s">
        <v>4</v>
      </c>
      <c r="F457" s="2" t="s">
        <v>5</v>
      </c>
      <c r="G457" s="9" t="s">
        <v>40</v>
      </c>
      <c r="H457" s="1" t="s">
        <v>6</v>
      </c>
      <c r="I457" s="2" t="s">
        <v>7</v>
      </c>
      <c r="J457" s="1" t="s">
        <v>8</v>
      </c>
      <c r="K457" s="1" t="s">
        <v>9</v>
      </c>
    </row>
    <row r="458" spans="1:11" x14ac:dyDescent="0.25">
      <c r="A458" s="3">
        <v>45318</v>
      </c>
      <c r="B458" t="s">
        <v>205</v>
      </c>
      <c r="C458" t="s">
        <v>206</v>
      </c>
      <c r="D458" t="s">
        <v>87</v>
      </c>
      <c r="F458" s="4">
        <v>78263</v>
      </c>
      <c r="H458" t="s">
        <v>21</v>
      </c>
      <c r="I458" s="4">
        <v>120000</v>
      </c>
    </row>
    <row r="459" spans="1:11" x14ac:dyDescent="0.25">
      <c r="H459" t="s">
        <v>16</v>
      </c>
      <c r="I459" s="4">
        <v>150000</v>
      </c>
    </row>
    <row r="460" spans="1:11" x14ac:dyDescent="0.25">
      <c r="H460" t="s">
        <v>207</v>
      </c>
      <c r="I460" s="4">
        <v>343000</v>
      </c>
    </row>
    <row r="461" spans="1:11" x14ac:dyDescent="0.25">
      <c r="H461" t="s">
        <v>208</v>
      </c>
      <c r="I461" s="4">
        <v>12000</v>
      </c>
    </row>
    <row r="462" spans="1:11" x14ac:dyDescent="0.25">
      <c r="H462" t="s">
        <v>209</v>
      </c>
      <c r="I462" s="4">
        <v>380000</v>
      </c>
    </row>
    <row r="464" spans="1:11" x14ac:dyDescent="0.25">
      <c r="H464" t="s">
        <v>17</v>
      </c>
      <c r="I464" s="4">
        <f>SUM(I458:I463)</f>
        <v>1005000</v>
      </c>
    </row>
    <row r="466" spans="1:11" x14ac:dyDescent="0.25">
      <c r="A466" s="1" t="s">
        <v>0</v>
      </c>
      <c r="B466" s="1" t="s">
        <v>1</v>
      </c>
      <c r="C466" s="1" t="s">
        <v>2</v>
      </c>
      <c r="D466" s="1" t="s">
        <v>3</v>
      </c>
      <c r="E466" s="1" t="s">
        <v>4</v>
      </c>
      <c r="F466" s="2" t="s">
        <v>5</v>
      </c>
      <c r="G466" s="9" t="s">
        <v>40</v>
      </c>
      <c r="H466" s="1" t="s">
        <v>6</v>
      </c>
      <c r="I466" s="2" t="s">
        <v>7</v>
      </c>
      <c r="J466" s="1" t="s">
        <v>8</v>
      </c>
      <c r="K466" s="1" t="s">
        <v>9</v>
      </c>
    </row>
    <row r="467" spans="1:11" x14ac:dyDescent="0.25">
      <c r="A467" s="3">
        <v>45318</v>
      </c>
      <c r="B467" t="s">
        <v>122</v>
      </c>
      <c r="C467" t="s">
        <v>123</v>
      </c>
      <c r="F467" s="4">
        <v>20300</v>
      </c>
      <c r="G467" s="10" t="s">
        <v>124</v>
      </c>
      <c r="H467" t="s">
        <v>14</v>
      </c>
      <c r="I467" s="4">
        <v>116000</v>
      </c>
    </row>
    <row r="468" spans="1:11" x14ac:dyDescent="0.25">
      <c r="H468" t="s">
        <v>15</v>
      </c>
      <c r="I468" s="4">
        <v>18000</v>
      </c>
    </row>
    <row r="470" spans="1:11" x14ac:dyDescent="0.25">
      <c r="H470" t="s">
        <v>17</v>
      </c>
      <c r="I470" s="4">
        <f>SUM(I467:I469)</f>
        <v>134000</v>
      </c>
    </row>
    <row r="472" spans="1:11" x14ac:dyDescent="0.25">
      <c r="A472" s="1" t="s">
        <v>0</v>
      </c>
      <c r="B472" s="1" t="s">
        <v>1</v>
      </c>
      <c r="C472" s="1" t="s">
        <v>2</v>
      </c>
      <c r="D472" s="1" t="s">
        <v>3</v>
      </c>
      <c r="E472" s="1" t="s">
        <v>4</v>
      </c>
      <c r="F472" s="2" t="s">
        <v>5</v>
      </c>
      <c r="G472" s="9" t="s">
        <v>40</v>
      </c>
      <c r="H472" s="1" t="s">
        <v>6</v>
      </c>
      <c r="I472" s="2" t="s">
        <v>7</v>
      </c>
      <c r="J472" s="1" t="s">
        <v>8</v>
      </c>
      <c r="K472" s="7" t="s">
        <v>9</v>
      </c>
    </row>
    <row r="473" spans="1:11" x14ac:dyDescent="0.25">
      <c r="A473" s="3">
        <v>45320</v>
      </c>
      <c r="B473" t="s">
        <v>210</v>
      </c>
      <c r="C473" t="s">
        <v>211</v>
      </c>
      <c r="D473" t="s">
        <v>12</v>
      </c>
      <c r="E473">
        <v>2020</v>
      </c>
      <c r="F473" s="4">
        <v>43544</v>
      </c>
      <c r="G473" s="10" t="s">
        <v>212</v>
      </c>
      <c r="H473" t="s">
        <v>59</v>
      </c>
      <c r="I473" s="4">
        <v>290000</v>
      </c>
      <c r="K473" s="8"/>
    </row>
    <row r="474" spans="1:11" x14ac:dyDescent="0.25">
      <c r="H474" t="s">
        <v>213</v>
      </c>
      <c r="I474" s="4">
        <v>5000</v>
      </c>
      <c r="K474" s="8"/>
    </row>
    <row r="475" spans="1:11" x14ac:dyDescent="0.25">
      <c r="H475" t="s">
        <v>48</v>
      </c>
      <c r="I475" s="4">
        <v>80000</v>
      </c>
      <c r="K475" s="8"/>
    </row>
    <row r="476" spans="1:11" x14ac:dyDescent="0.25">
      <c r="K476" s="8"/>
    </row>
    <row r="477" spans="1:11" x14ac:dyDescent="0.25">
      <c r="H477" t="s">
        <v>17</v>
      </c>
      <c r="I477" s="4">
        <f>SUM(I473:I476)</f>
        <v>375000</v>
      </c>
      <c r="K477" s="8"/>
    </row>
    <row r="478" spans="1:11" x14ac:dyDescent="0.25">
      <c r="K478" s="8"/>
    </row>
    <row r="479" spans="1:11" x14ac:dyDescent="0.25">
      <c r="A479" s="1" t="s">
        <v>0</v>
      </c>
      <c r="B479" s="1" t="s">
        <v>1</v>
      </c>
      <c r="C479" s="1" t="s">
        <v>2</v>
      </c>
      <c r="D479" s="1" t="s">
        <v>3</v>
      </c>
      <c r="E479" s="1" t="s">
        <v>4</v>
      </c>
      <c r="F479" s="2" t="s">
        <v>5</v>
      </c>
      <c r="G479" s="9" t="s">
        <v>40</v>
      </c>
      <c r="H479" s="1" t="s">
        <v>6</v>
      </c>
      <c r="I479" s="2" t="s">
        <v>7</v>
      </c>
      <c r="J479" s="6" t="s">
        <v>8</v>
      </c>
      <c r="K479" s="8"/>
    </row>
    <row r="480" spans="1:11" x14ac:dyDescent="0.25">
      <c r="A480" s="3">
        <v>45320</v>
      </c>
      <c r="B480" t="s">
        <v>381</v>
      </c>
      <c r="C480" t="s">
        <v>382</v>
      </c>
      <c r="D480" t="s">
        <v>19</v>
      </c>
      <c r="E480">
        <v>2013</v>
      </c>
      <c r="G480" s="10" t="s">
        <v>383</v>
      </c>
      <c r="H480" t="s">
        <v>384</v>
      </c>
      <c r="K480" s="8"/>
    </row>
    <row r="481" spans="1:11" x14ac:dyDescent="0.25">
      <c r="K481" s="8"/>
    </row>
    <row r="482" spans="1:11" x14ac:dyDescent="0.25">
      <c r="H482" t="s">
        <v>17</v>
      </c>
      <c r="K482" s="8"/>
    </row>
    <row r="483" spans="1:11" x14ac:dyDescent="0.25">
      <c r="K483" s="8"/>
    </row>
    <row r="484" spans="1:11" x14ac:dyDescent="0.25">
      <c r="A484" s="1" t="s">
        <v>0</v>
      </c>
      <c r="B484" s="1" t="s">
        <v>1</v>
      </c>
      <c r="C484" s="1" t="s">
        <v>2</v>
      </c>
      <c r="D484" s="1" t="s">
        <v>3</v>
      </c>
      <c r="E484" s="1" t="s">
        <v>4</v>
      </c>
      <c r="F484" s="2" t="s">
        <v>5</v>
      </c>
      <c r="G484" s="9" t="s">
        <v>40</v>
      </c>
      <c r="H484" s="1" t="s">
        <v>6</v>
      </c>
      <c r="I484" s="2" t="s">
        <v>7</v>
      </c>
      <c r="J484" s="6" t="s">
        <v>8</v>
      </c>
      <c r="K484" s="8"/>
    </row>
    <row r="485" spans="1:11" x14ac:dyDescent="0.25">
      <c r="A485" s="3">
        <v>45320</v>
      </c>
      <c r="B485" t="s">
        <v>71</v>
      </c>
      <c r="C485" t="s">
        <v>484</v>
      </c>
      <c r="D485" t="s">
        <v>19</v>
      </c>
      <c r="G485" s="10" t="s">
        <v>131</v>
      </c>
      <c r="H485" t="s">
        <v>485</v>
      </c>
      <c r="K485" s="8"/>
    </row>
    <row r="486" spans="1:11" x14ac:dyDescent="0.25">
      <c r="H486" t="s">
        <v>486</v>
      </c>
      <c r="I486" s="4">
        <v>10000</v>
      </c>
      <c r="K486" s="8"/>
    </row>
    <row r="487" spans="1:11" x14ac:dyDescent="0.25">
      <c r="H487" t="s">
        <v>487</v>
      </c>
      <c r="I487" s="4">
        <v>5000</v>
      </c>
      <c r="K487" s="8"/>
    </row>
    <row r="488" spans="1:11" x14ac:dyDescent="0.25">
      <c r="H488" t="s">
        <v>488</v>
      </c>
      <c r="I488" s="4">
        <v>120000</v>
      </c>
      <c r="K488" s="8"/>
    </row>
    <row r="489" spans="1:11" x14ac:dyDescent="0.25">
      <c r="H489" t="s">
        <v>48</v>
      </c>
      <c r="I489" s="4">
        <v>80000</v>
      </c>
      <c r="K489" s="8"/>
    </row>
    <row r="490" spans="1:11" x14ac:dyDescent="0.25">
      <c r="K490" s="8"/>
    </row>
    <row r="491" spans="1:11" x14ac:dyDescent="0.25">
      <c r="H491" t="s">
        <v>17</v>
      </c>
      <c r="I491" s="4">
        <f>SUM(I485:I490)</f>
        <v>215000</v>
      </c>
      <c r="K491" s="8"/>
    </row>
    <row r="492" spans="1:11" x14ac:dyDescent="0.25">
      <c r="K492" s="8"/>
    </row>
    <row r="493" spans="1:11" x14ac:dyDescent="0.25">
      <c r="A493" s="1" t="s">
        <v>0</v>
      </c>
      <c r="B493" s="1" t="s">
        <v>1</v>
      </c>
      <c r="C493" s="1" t="s">
        <v>2</v>
      </c>
      <c r="D493" s="1" t="s">
        <v>3</v>
      </c>
      <c r="E493" s="1" t="s">
        <v>4</v>
      </c>
      <c r="F493" s="2" t="s">
        <v>5</v>
      </c>
      <c r="G493" s="9" t="s">
        <v>40</v>
      </c>
      <c r="H493" s="1" t="s">
        <v>6</v>
      </c>
      <c r="I493" s="2" t="s">
        <v>7</v>
      </c>
      <c r="J493" s="6" t="s">
        <v>8</v>
      </c>
      <c r="K493" s="8"/>
    </row>
    <row r="494" spans="1:11" x14ac:dyDescent="0.25">
      <c r="A494" s="3">
        <v>45320</v>
      </c>
      <c r="B494" t="s">
        <v>489</v>
      </c>
      <c r="C494" t="s">
        <v>490</v>
      </c>
      <c r="D494" t="s">
        <v>87</v>
      </c>
      <c r="E494">
        <v>2019</v>
      </c>
      <c r="F494" s="4">
        <v>47462</v>
      </c>
      <c r="G494" s="10" t="s">
        <v>491</v>
      </c>
      <c r="H494" t="s">
        <v>59</v>
      </c>
      <c r="I494" s="4">
        <v>200000</v>
      </c>
      <c r="K494" s="8"/>
    </row>
    <row r="495" spans="1:11" x14ac:dyDescent="0.25">
      <c r="H495" t="s">
        <v>492</v>
      </c>
      <c r="I495" s="4">
        <v>40000</v>
      </c>
      <c r="K495" s="8"/>
    </row>
    <row r="496" spans="1:11" x14ac:dyDescent="0.25">
      <c r="H496" t="s">
        <v>14</v>
      </c>
      <c r="K496" s="8"/>
    </row>
    <row r="497" spans="1:11" x14ac:dyDescent="0.25">
      <c r="K497" s="8"/>
    </row>
    <row r="498" spans="1:11" x14ac:dyDescent="0.25">
      <c r="H498" t="s">
        <v>17</v>
      </c>
      <c r="I498" s="4">
        <f>SUM(I494:I497)</f>
        <v>240000</v>
      </c>
      <c r="K498" s="8"/>
    </row>
    <row r="499" spans="1:11" x14ac:dyDescent="0.25">
      <c r="K499" s="8"/>
    </row>
    <row r="500" spans="1:11" x14ac:dyDescent="0.25">
      <c r="A500" s="1" t="s">
        <v>0</v>
      </c>
      <c r="B500" s="1" t="s">
        <v>1</v>
      </c>
      <c r="C500" s="1" t="s">
        <v>2</v>
      </c>
      <c r="D500" s="1" t="s">
        <v>3</v>
      </c>
      <c r="E500" s="1" t="s">
        <v>4</v>
      </c>
      <c r="F500" s="2" t="s">
        <v>5</v>
      </c>
      <c r="G500" s="9" t="s">
        <v>40</v>
      </c>
      <c r="H500" s="1" t="s">
        <v>6</v>
      </c>
      <c r="I500" s="2" t="s">
        <v>7</v>
      </c>
      <c r="J500" s="6" t="s">
        <v>8</v>
      </c>
      <c r="K500" s="8"/>
    </row>
    <row r="501" spans="1:11" x14ac:dyDescent="0.25">
      <c r="A501" s="3">
        <v>45320</v>
      </c>
      <c r="B501" t="s">
        <v>493</v>
      </c>
      <c r="C501" t="s">
        <v>494</v>
      </c>
      <c r="D501" t="s">
        <v>87</v>
      </c>
      <c r="E501">
        <v>2023</v>
      </c>
      <c r="F501" s="4">
        <v>19750</v>
      </c>
      <c r="G501" s="10" t="s">
        <v>495</v>
      </c>
      <c r="H501" t="s">
        <v>496</v>
      </c>
      <c r="K501" s="8"/>
    </row>
    <row r="502" spans="1:11" x14ac:dyDescent="0.25">
      <c r="H502" t="s">
        <v>15</v>
      </c>
      <c r="K502" s="8"/>
    </row>
    <row r="503" spans="1:11" x14ac:dyDescent="0.25">
      <c r="K503" s="8"/>
    </row>
    <row r="504" spans="1:11" x14ac:dyDescent="0.25">
      <c r="H504" t="s">
        <v>17</v>
      </c>
      <c r="K504" s="8"/>
    </row>
    <row r="505" spans="1:11" x14ac:dyDescent="0.25">
      <c r="K505" s="8"/>
    </row>
    <row r="506" spans="1:11" x14ac:dyDescent="0.25">
      <c r="A506" s="1" t="s">
        <v>0</v>
      </c>
      <c r="B506" s="1" t="s">
        <v>1</v>
      </c>
      <c r="C506" s="1" t="s">
        <v>2</v>
      </c>
      <c r="D506" s="1" t="s">
        <v>3</v>
      </c>
      <c r="E506" s="1" t="s">
        <v>4</v>
      </c>
      <c r="F506" s="2" t="s">
        <v>5</v>
      </c>
      <c r="G506" s="9" t="s">
        <v>40</v>
      </c>
      <c r="H506" s="1" t="s">
        <v>6</v>
      </c>
      <c r="I506" s="2" t="s">
        <v>7</v>
      </c>
      <c r="J506" s="6" t="s">
        <v>8</v>
      </c>
      <c r="K506" s="8"/>
    </row>
    <row r="507" spans="1:11" x14ac:dyDescent="0.25">
      <c r="A507" s="3">
        <v>47147</v>
      </c>
      <c r="B507" t="s">
        <v>10</v>
      </c>
      <c r="C507" t="s">
        <v>497</v>
      </c>
      <c r="D507" t="s">
        <v>12</v>
      </c>
      <c r="E507">
        <v>2017</v>
      </c>
      <c r="H507" t="s">
        <v>488</v>
      </c>
      <c r="K507" s="8"/>
    </row>
    <row r="508" spans="1:11" x14ac:dyDescent="0.25">
      <c r="K508" s="8"/>
    </row>
    <row r="509" spans="1:11" x14ac:dyDescent="0.25">
      <c r="H509" t="s">
        <v>17</v>
      </c>
      <c r="K509" s="8"/>
    </row>
    <row r="510" spans="1:11" x14ac:dyDescent="0.25">
      <c r="K510" s="8"/>
    </row>
    <row r="511" spans="1:11" x14ac:dyDescent="0.25">
      <c r="A511" s="1" t="s">
        <v>0</v>
      </c>
      <c r="B511" s="1" t="s">
        <v>1</v>
      </c>
      <c r="C511" s="1" t="s">
        <v>2</v>
      </c>
      <c r="D511" s="1" t="s">
        <v>3</v>
      </c>
      <c r="E511" s="1" t="s">
        <v>4</v>
      </c>
      <c r="F511" s="2" t="s">
        <v>5</v>
      </c>
      <c r="G511" s="9" t="s">
        <v>40</v>
      </c>
      <c r="H511" s="1" t="s">
        <v>6</v>
      </c>
      <c r="I511" s="2" t="s">
        <v>7</v>
      </c>
      <c r="J511" s="6" t="s">
        <v>8</v>
      </c>
      <c r="K511" s="8"/>
    </row>
    <row r="512" spans="1:11" x14ac:dyDescent="0.25">
      <c r="A512" s="3">
        <v>45321</v>
      </c>
      <c r="B512" t="s">
        <v>498</v>
      </c>
      <c r="C512" t="s">
        <v>499</v>
      </c>
      <c r="D512" t="s">
        <v>19</v>
      </c>
      <c r="G512" s="10" t="s">
        <v>500</v>
      </c>
      <c r="H512" t="s">
        <v>501</v>
      </c>
      <c r="K512" s="8"/>
    </row>
    <row r="513" spans="1:11" x14ac:dyDescent="0.25">
      <c r="H513" t="s">
        <v>266</v>
      </c>
      <c r="K513" s="8"/>
    </row>
    <row r="514" spans="1:11" x14ac:dyDescent="0.25">
      <c r="H514" t="s">
        <v>106</v>
      </c>
      <c r="K514" s="8"/>
    </row>
    <row r="515" spans="1:11" x14ac:dyDescent="0.25">
      <c r="K515" s="8"/>
    </row>
    <row r="516" spans="1:11" x14ac:dyDescent="0.25">
      <c r="H516" t="s">
        <v>17</v>
      </c>
      <c r="K516" s="8"/>
    </row>
    <row r="517" spans="1:11" x14ac:dyDescent="0.25">
      <c r="K517" s="8"/>
    </row>
    <row r="518" spans="1:11" x14ac:dyDescent="0.25">
      <c r="A518" s="1" t="s">
        <v>0</v>
      </c>
      <c r="B518" s="1" t="s">
        <v>1</v>
      </c>
      <c r="C518" s="1" t="s">
        <v>2</v>
      </c>
      <c r="D518" s="1" t="s">
        <v>3</v>
      </c>
      <c r="E518" s="1" t="s">
        <v>4</v>
      </c>
      <c r="F518" s="2" t="s">
        <v>5</v>
      </c>
      <c r="G518" s="9" t="s">
        <v>40</v>
      </c>
      <c r="H518" s="1" t="s">
        <v>6</v>
      </c>
      <c r="I518" s="2" t="s">
        <v>7</v>
      </c>
      <c r="J518" s="6" t="s">
        <v>8</v>
      </c>
      <c r="K518" s="8"/>
    </row>
    <row r="519" spans="1:11" x14ac:dyDescent="0.25">
      <c r="A519" s="3">
        <v>45321</v>
      </c>
      <c r="B519" t="s">
        <v>414</v>
      </c>
      <c r="C519" t="s">
        <v>502</v>
      </c>
      <c r="E519">
        <v>2019</v>
      </c>
      <c r="F519" s="4">
        <v>44583</v>
      </c>
      <c r="G519" s="10" t="s">
        <v>503</v>
      </c>
      <c r="H519" t="s">
        <v>504</v>
      </c>
      <c r="K519" s="8"/>
    </row>
    <row r="520" spans="1:11" x14ac:dyDescent="0.25">
      <c r="H520" t="s">
        <v>505</v>
      </c>
      <c r="K520" s="8"/>
    </row>
    <row r="521" spans="1:11" x14ac:dyDescent="0.25">
      <c r="H521" t="s">
        <v>33</v>
      </c>
      <c r="K521" s="8"/>
    </row>
    <row r="522" spans="1:11" x14ac:dyDescent="0.25">
      <c r="K522" s="8"/>
    </row>
    <row r="523" spans="1:11" x14ac:dyDescent="0.25">
      <c r="H523" t="s">
        <v>17</v>
      </c>
      <c r="K523" s="8"/>
    </row>
    <row r="524" spans="1:11" x14ac:dyDescent="0.25">
      <c r="K524" s="8"/>
    </row>
    <row r="525" spans="1:11" x14ac:dyDescent="0.25">
      <c r="A525" s="1" t="s">
        <v>0</v>
      </c>
      <c r="B525" s="1" t="s">
        <v>1</v>
      </c>
      <c r="C525" s="1" t="s">
        <v>2</v>
      </c>
      <c r="D525" s="1" t="s">
        <v>3</v>
      </c>
      <c r="E525" s="1" t="s">
        <v>4</v>
      </c>
      <c r="F525" s="2" t="s">
        <v>5</v>
      </c>
      <c r="G525" s="9" t="s">
        <v>40</v>
      </c>
      <c r="H525" s="1" t="s">
        <v>6</v>
      </c>
      <c r="I525" s="2" t="s">
        <v>7</v>
      </c>
      <c r="J525" s="6" t="s">
        <v>8</v>
      </c>
      <c r="K525" s="8"/>
    </row>
    <row r="526" spans="1:11" x14ac:dyDescent="0.25">
      <c r="A526" s="3">
        <v>45321</v>
      </c>
      <c r="B526" t="s">
        <v>10</v>
      </c>
      <c r="C526" t="s">
        <v>217</v>
      </c>
      <c r="E526">
        <v>2014</v>
      </c>
      <c r="F526" s="4">
        <v>73131</v>
      </c>
      <c r="G526" s="10" t="s">
        <v>218</v>
      </c>
      <c r="H526" t="s">
        <v>37</v>
      </c>
      <c r="K526" s="8"/>
    </row>
    <row r="527" spans="1:11" x14ac:dyDescent="0.25">
      <c r="H527" t="s">
        <v>219</v>
      </c>
      <c r="I527" s="4">
        <v>350000</v>
      </c>
      <c r="K527" s="8"/>
    </row>
    <row r="528" spans="1:11" x14ac:dyDescent="0.25">
      <c r="K528" s="8"/>
    </row>
    <row r="529" spans="1:11" x14ac:dyDescent="0.25">
      <c r="H529" t="s">
        <v>17</v>
      </c>
      <c r="I529" s="4">
        <v>350000</v>
      </c>
      <c r="K529" s="8"/>
    </row>
    <row r="530" spans="1:11" x14ac:dyDescent="0.25">
      <c r="K530" s="8"/>
    </row>
    <row r="531" spans="1:11" x14ac:dyDescent="0.25">
      <c r="A531" s="1" t="s">
        <v>0</v>
      </c>
      <c r="B531" s="1" t="s">
        <v>1</v>
      </c>
      <c r="C531" s="1" t="s">
        <v>2</v>
      </c>
      <c r="D531" s="1" t="s">
        <v>3</v>
      </c>
      <c r="E531" s="1" t="s">
        <v>4</v>
      </c>
      <c r="F531" s="2" t="s">
        <v>5</v>
      </c>
      <c r="G531" s="9" t="s">
        <v>40</v>
      </c>
      <c r="H531" s="1" t="s">
        <v>6</v>
      </c>
      <c r="I531" s="2" t="s">
        <v>7</v>
      </c>
      <c r="J531" s="6" t="s">
        <v>8</v>
      </c>
      <c r="K531" s="8"/>
    </row>
    <row r="532" spans="1:11" x14ac:dyDescent="0.25">
      <c r="A532" s="3">
        <v>45322</v>
      </c>
      <c r="B532" t="s">
        <v>214</v>
      </c>
      <c r="C532" t="s">
        <v>215</v>
      </c>
      <c r="D532" t="s">
        <v>19</v>
      </c>
      <c r="F532" s="4">
        <v>38871</v>
      </c>
      <c r="G532" s="10" t="s">
        <v>216</v>
      </c>
      <c r="H532" t="s">
        <v>37</v>
      </c>
      <c r="I532" s="4">
        <v>200000</v>
      </c>
      <c r="K532" s="8"/>
    </row>
    <row r="533" spans="1:11" x14ac:dyDescent="0.25">
      <c r="H533" t="s">
        <v>14</v>
      </c>
      <c r="I533" s="4">
        <v>40000</v>
      </c>
      <c r="K533" s="8"/>
    </row>
    <row r="534" spans="1:11" x14ac:dyDescent="0.25">
      <c r="H534" t="s">
        <v>15</v>
      </c>
      <c r="I534" s="4">
        <v>18000</v>
      </c>
      <c r="K534" s="8"/>
    </row>
    <row r="535" spans="1:11" x14ac:dyDescent="0.25">
      <c r="H535" t="s">
        <v>50</v>
      </c>
      <c r="I535" s="4">
        <v>28000</v>
      </c>
      <c r="K535" s="8"/>
    </row>
    <row r="536" spans="1:11" x14ac:dyDescent="0.25">
      <c r="K536" s="8"/>
    </row>
    <row r="537" spans="1:11" x14ac:dyDescent="0.25">
      <c r="H537" t="s">
        <v>17</v>
      </c>
      <c r="I537" s="4">
        <f>SUM(I532:I536)</f>
        <v>286000</v>
      </c>
      <c r="K537" s="8"/>
    </row>
    <row r="538" spans="1:11" x14ac:dyDescent="0.25">
      <c r="K538" s="8"/>
    </row>
    <row r="539" spans="1:11" x14ac:dyDescent="0.25">
      <c r="A539" s="1" t="s">
        <v>0</v>
      </c>
      <c r="B539" s="1" t="s">
        <v>1</v>
      </c>
      <c r="C539" s="1" t="s">
        <v>2</v>
      </c>
      <c r="D539" s="1" t="s">
        <v>3</v>
      </c>
      <c r="E539" s="1" t="s">
        <v>4</v>
      </c>
      <c r="F539" s="2" t="s">
        <v>5</v>
      </c>
      <c r="G539" s="9" t="s">
        <v>40</v>
      </c>
      <c r="H539" s="1" t="s">
        <v>6</v>
      </c>
      <c r="I539" s="2" t="s">
        <v>7</v>
      </c>
      <c r="J539" s="6" t="s">
        <v>8</v>
      </c>
      <c r="K539" s="8"/>
    </row>
    <row r="540" spans="1:11" x14ac:dyDescent="0.25">
      <c r="A540" s="3">
        <v>45322</v>
      </c>
      <c r="B540" t="s">
        <v>10</v>
      </c>
      <c r="C540" t="s">
        <v>220</v>
      </c>
      <c r="F540" s="4">
        <v>48102</v>
      </c>
      <c r="G540" s="10" t="s">
        <v>221</v>
      </c>
      <c r="H540" t="s">
        <v>14</v>
      </c>
      <c r="I540" s="4">
        <v>238000</v>
      </c>
      <c r="K540" s="8"/>
    </row>
    <row r="541" spans="1:11" x14ac:dyDescent="0.25">
      <c r="H541" t="s">
        <v>15</v>
      </c>
      <c r="I541" s="4">
        <v>46000</v>
      </c>
      <c r="K541" s="8"/>
    </row>
    <row r="542" spans="1:11" x14ac:dyDescent="0.25">
      <c r="K542" s="8"/>
    </row>
    <row r="543" spans="1:11" x14ac:dyDescent="0.25">
      <c r="H543" t="s">
        <v>17</v>
      </c>
      <c r="I543" s="4">
        <f>SUM(I540:I542)</f>
        <v>284000</v>
      </c>
      <c r="K543" s="8"/>
    </row>
    <row r="544" spans="1:11" x14ac:dyDescent="0.25">
      <c r="K544" s="8"/>
    </row>
    <row r="545" spans="1:11" x14ac:dyDescent="0.25">
      <c r="A545" s="1" t="s">
        <v>0</v>
      </c>
      <c r="B545" s="1" t="s">
        <v>1</v>
      </c>
      <c r="C545" s="1" t="s">
        <v>2</v>
      </c>
      <c r="D545" s="1" t="s">
        <v>3</v>
      </c>
      <c r="E545" s="1" t="s">
        <v>4</v>
      </c>
      <c r="F545" s="2" t="s">
        <v>5</v>
      </c>
      <c r="G545" s="9" t="s">
        <v>40</v>
      </c>
      <c r="H545" s="1" t="s">
        <v>6</v>
      </c>
      <c r="I545" s="2" t="s">
        <v>7</v>
      </c>
      <c r="J545" s="1" t="s">
        <v>8</v>
      </c>
      <c r="K545" s="7" t="s">
        <v>9</v>
      </c>
    </row>
    <row r="546" spans="1:11" x14ac:dyDescent="0.25">
      <c r="A546" s="3">
        <v>45322</v>
      </c>
      <c r="B546" t="s">
        <v>10</v>
      </c>
      <c r="C546" t="s">
        <v>222</v>
      </c>
      <c r="D546" t="s">
        <v>26</v>
      </c>
      <c r="F546" s="4">
        <v>122063</v>
      </c>
      <c r="G546" s="10" t="s">
        <v>223</v>
      </c>
      <c r="H546" t="s">
        <v>224</v>
      </c>
      <c r="I546" s="4">
        <v>50000</v>
      </c>
      <c r="K546" s="5"/>
    </row>
    <row r="547" spans="1:11" x14ac:dyDescent="0.25">
      <c r="H547" t="s">
        <v>51</v>
      </c>
      <c r="I547" s="4">
        <v>120000</v>
      </c>
      <c r="K547" s="5"/>
    </row>
    <row r="548" spans="1:11" x14ac:dyDescent="0.25">
      <c r="K548" s="5"/>
    </row>
    <row r="549" spans="1:11" x14ac:dyDescent="0.25">
      <c r="H549" t="s">
        <v>17</v>
      </c>
      <c r="I549" s="4">
        <f>SUM(I546:I548)</f>
        <v>170000</v>
      </c>
    </row>
    <row r="551" spans="1:11" x14ac:dyDescent="0.25">
      <c r="A551" s="1" t="s">
        <v>0</v>
      </c>
      <c r="B551" s="1" t="s">
        <v>1</v>
      </c>
      <c r="C551" s="1" t="s">
        <v>2</v>
      </c>
      <c r="D551" s="1" t="s">
        <v>3</v>
      </c>
      <c r="E551" s="1" t="s">
        <v>4</v>
      </c>
      <c r="F551" s="2" t="s">
        <v>5</v>
      </c>
      <c r="G551" s="9" t="s">
        <v>40</v>
      </c>
      <c r="H551" s="1" t="s">
        <v>6</v>
      </c>
      <c r="I551" s="2" t="s">
        <v>7</v>
      </c>
      <c r="J551" s="1" t="s">
        <v>8</v>
      </c>
      <c r="K551" s="1" t="s">
        <v>9</v>
      </c>
    </row>
    <row r="552" spans="1:11" x14ac:dyDescent="0.25">
      <c r="A552" s="3">
        <v>45322</v>
      </c>
      <c r="B552" t="s">
        <v>506</v>
      </c>
      <c r="C552" t="s">
        <v>507</v>
      </c>
      <c r="F552" s="4">
        <v>29789</v>
      </c>
      <c r="G552" s="10" t="s">
        <v>508</v>
      </c>
      <c r="H552" t="s">
        <v>14</v>
      </c>
      <c r="I552" s="4">
        <v>126000</v>
      </c>
    </row>
    <row r="553" spans="1:11" x14ac:dyDescent="0.25">
      <c r="H553" t="s">
        <v>509</v>
      </c>
    </row>
    <row r="554" spans="1:11" x14ac:dyDescent="0.25">
      <c r="H554" t="s">
        <v>510</v>
      </c>
      <c r="I554" s="4">
        <v>40000</v>
      </c>
    </row>
    <row r="556" spans="1:11" x14ac:dyDescent="0.25">
      <c r="H556" t="s">
        <v>17</v>
      </c>
      <c r="I556" s="4">
        <f>SUM(I552:I555)</f>
        <v>166000</v>
      </c>
    </row>
    <row r="558" spans="1:11" x14ac:dyDescent="0.25">
      <c r="A558" s="1" t="s">
        <v>0</v>
      </c>
      <c r="B558" s="1" t="s">
        <v>1</v>
      </c>
      <c r="C558" s="1" t="s">
        <v>2</v>
      </c>
      <c r="D558" s="1" t="s">
        <v>3</v>
      </c>
      <c r="E558" s="1" t="s">
        <v>4</v>
      </c>
      <c r="F558" s="2" t="s">
        <v>5</v>
      </c>
      <c r="G558" s="9" t="s">
        <v>40</v>
      </c>
      <c r="H558" s="1" t="s">
        <v>6</v>
      </c>
      <c r="I558" s="2" t="s">
        <v>7</v>
      </c>
      <c r="J558" s="1" t="s">
        <v>8</v>
      </c>
      <c r="K558" s="1" t="s">
        <v>9</v>
      </c>
    </row>
    <row r="559" spans="1:11" x14ac:dyDescent="0.25">
      <c r="A559" s="3">
        <v>45322</v>
      </c>
      <c r="B559" t="s">
        <v>354</v>
      </c>
      <c r="C559" t="s">
        <v>355</v>
      </c>
      <c r="D559" t="s">
        <v>19</v>
      </c>
      <c r="E559">
        <v>2016</v>
      </c>
      <c r="G559" s="10" t="s">
        <v>356</v>
      </c>
      <c r="H559" t="s">
        <v>95</v>
      </c>
    </row>
    <row r="560" spans="1:11" x14ac:dyDescent="0.25">
      <c r="H560" t="s">
        <v>357</v>
      </c>
    </row>
    <row r="561" spans="1:11" x14ac:dyDescent="0.25">
      <c r="H561" t="s">
        <v>358</v>
      </c>
    </row>
    <row r="562" spans="1:11" x14ac:dyDescent="0.25">
      <c r="H562" t="s">
        <v>33</v>
      </c>
    </row>
    <row r="564" spans="1:11" x14ac:dyDescent="0.25">
      <c r="H564" t="s">
        <v>17</v>
      </c>
    </row>
    <row r="565" spans="1:11" x14ac:dyDescent="0.25">
      <c r="K565" s="5"/>
    </row>
    <row r="566" spans="1:11" x14ac:dyDescent="0.25">
      <c r="A566" s="1" t="s">
        <v>0</v>
      </c>
      <c r="B566" s="1" t="s">
        <v>1</v>
      </c>
      <c r="C566" s="1" t="s">
        <v>2</v>
      </c>
      <c r="D566" s="1" t="s">
        <v>3</v>
      </c>
      <c r="E566" s="1" t="s">
        <v>4</v>
      </c>
      <c r="F566" s="2" t="s">
        <v>5</v>
      </c>
      <c r="G566" s="9" t="s">
        <v>40</v>
      </c>
      <c r="H566" s="1" t="s">
        <v>6</v>
      </c>
      <c r="I566" s="2" t="s">
        <v>7</v>
      </c>
      <c r="J566" s="1" t="s">
        <v>8</v>
      </c>
      <c r="K566" s="1" t="s">
        <v>9</v>
      </c>
    </row>
    <row r="567" spans="1:11" x14ac:dyDescent="0.25">
      <c r="A567" s="3">
        <v>45322</v>
      </c>
      <c r="B567" t="s">
        <v>10</v>
      </c>
      <c r="C567" t="s">
        <v>225</v>
      </c>
      <c r="F567" s="4">
        <v>16800</v>
      </c>
      <c r="H567" t="s">
        <v>226</v>
      </c>
    </row>
    <row r="568" spans="1:11" x14ac:dyDescent="0.25">
      <c r="H568" t="s">
        <v>227</v>
      </c>
    </row>
    <row r="570" spans="1:11" x14ac:dyDescent="0.25">
      <c r="H570" t="s">
        <v>17</v>
      </c>
      <c r="I570" s="4">
        <v>150000</v>
      </c>
    </row>
    <row r="572" spans="1:11" x14ac:dyDescent="0.25">
      <c r="A572" s="1" t="s">
        <v>0</v>
      </c>
      <c r="B572" s="1" t="s">
        <v>1</v>
      </c>
      <c r="C572" s="1" t="s">
        <v>2</v>
      </c>
      <c r="D572" s="1" t="s">
        <v>3</v>
      </c>
      <c r="E572" s="1" t="s">
        <v>4</v>
      </c>
      <c r="F572" s="2" t="s">
        <v>5</v>
      </c>
      <c r="G572" s="9" t="s">
        <v>40</v>
      </c>
      <c r="H572" s="1" t="s">
        <v>6</v>
      </c>
      <c r="I572" s="2" t="s">
        <v>7</v>
      </c>
      <c r="J572" s="1" t="s">
        <v>8</v>
      </c>
      <c r="K572" s="1" t="s">
        <v>9</v>
      </c>
    </row>
    <row r="573" spans="1:11" x14ac:dyDescent="0.25">
      <c r="A573" s="3">
        <v>45323</v>
      </c>
      <c r="B573" t="s">
        <v>228</v>
      </c>
      <c r="C573" t="s">
        <v>229</v>
      </c>
      <c r="E573">
        <v>2015</v>
      </c>
      <c r="F573" s="4">
        <v>20000</v>
      </c>
      <c r="G573" s="10" t="s">
        <v>230</v>
      </c>
      <c r="H573" t="s">
        <v>231</v>
      </c>
      <c r="I573" s="4">
        <v>150000</v>
      </c>
    </row>
    <row r="574" spans="1:11" x14ac:dyDescent="0.25">
      <c r="H574" t="s">
        <v>55</v>
      </c>
      <c r="I574" s="4">
        <v>310000</v>
      </c>
    </row>
    <row r="575" spans="1:11" x14ac:dyDescent="0.25">
      <c r="H575" t="s">
        <v>21</v>
      </c>
      <c r="I575" s="4">
        <v>65000</v>
      </c>
    </row>
    <row r="576" spans="1:11" x14ac:dyDescent="0.25">
      <c r="H576" t="s">
        <v>232</v>
      </c>
      <c r="I576" s="4">
        <v>60000</v>
      </c>
    </row>
    <row r="577" spans="1:11" x14ac:dyDescent="0.25">
      <c r="H577" t="s">
        <v>233</v>
      </c>
      <c r="I577" s="4">
        <v>250000</v>
      </c>
    </row>
    <row r="578" spans="1:11" x14ac:dyDescent="0.25">
      <c r="H578" t="s">
        <v>234</v>
      </c>
      <c r="I578" s="4">
        <v>20000</v>
      </c>
    </row>
    <row r="579" spans="1:11" x14ac:dyDescent="0.25">
      <c r="H579" t="s">
        <v>151</v>
      </c>
      <c r="I579" s="4">
        <v>80000</v>
      </c>
    </row>
    <row r="580" spans="1:11" x14ac:dyDescent="0.25">
      <c r="H580" t="s">
        <v>235</v>
      </c>
      <c r="I580" s="4">
        <v>20000</v>
      </c>
    </row>
    <row r="582" spans="1:11" x14ac:dyDescent="0.25">
      <c r="H582" t="s">
        <v>17</v>
      </c>
      <c r="I582" s="4">
        <f>SUM(I573:I581)</f>
        <v>955000</v>
      </c>
    </row>
    <row r="584" spans="1:11" x14ac:dyDescent="0.25">
      <c r="A584" s="1" t="s">
        <v>0</v>
      </c>
      <c r="B584" s="1" t="s">
        <v>1</v>
      </c>
      <c r="C584" s="1" t="s">
        <v>2</v>
      </c>
      <c r="D584" s="1" t="s">
        <v>3</v>
      </c>
      <c r="E584" s="1" t="s">
        <v>4</v>
      </c>
      <c r="F584" s="2" t="s">
        <v>5</v>
      </c>
      <c r="G584" s="9" t="s">
        <v>40</v>
      </c>
      <c r="H584" s="1" t="s">
        <v>6</v>
      </c>
      <c r="I584" s="2" t="s">
        <v>7</v>
      </c>
      <c r="J584" s="1" t="s">
        <v>8</v>
      </c>
      <c r="K584" s="1" t="s">
        <v>9</v>
      </c>
    </row>
    <row r="585" spans="1:11" x14ac:dyDescent="0.25">
      <c r="A585" s="3">
        <v>45323</v>
      </c>
      <c r="B585" t="s">
        <v>10</v>
      </c>
      <c r="C585" t="s">
        <v>236</v>
      </c>
      <c r="D585" t="s">
        <v>26</v>
      </c>
      <c r="E585">
        <v>2014</v>
      </c>
      <c r="F585" s="4">
        <v>79234</v>
      </c>
      <c r="G585" s="10" t="s">
        <v>237</v>
      </c>
      <c r="H585" t="s">
        <v>106</v>
      </c>
      <c r="I585" s="4">
        <v>150000</v>
      </c>
    </row>
    <row r="586" spans="1:11" x14ac:dyDescent="0.25">
      <c r="H586" t="s">
        <v>238</v>
      </c>
      <c r="I586" s="4">
        <v>30000</v>
      </c>
    </row>
    <row r="587" spans="1:11" x14ac:dyDescent="0.25">
      <c r="H587" t="s">
        <v>14</v>
      </c>
      <c r="I587" s="4">
        <v>160000</v>
      </c>
    </row>
    <row r="588" spans="1:11" x14ac:dyDescent="0.25">
      <c r="H588" t="s">
        <v>239</v>
      </c>
      <c r="I588" s="4">
        <v>20000</v>
      </c>
    </row>
    <row r="589" spans="1:11" x14ac:dyDescent="0.25">
      <c r="H589" t="s">
        <v>15</v>
      </c>
      <c r="I589" s="4">
        <v>46000</v>
      </c>
    </row>
    <row r="590" spans="1:11" x14ac:dyDescent="0.25">
      <c r="H590" t="s">
        <v>240</v>
      </c>
      <c r="I590" s="4">
        <v>19000</v>
      </c>
    </row>
    <row r="592" spans="1:11" x14ac:dyDescent="0.25">
      <c r="H592" t="s">
        <v>17</v>
      </c>
      <c r="I592" s="4">
        <f>SUM(I585:I591)</f>
        <v>425000</v>
      </c>
    </row>
    <row r="594" spans="1:11" x14ac:dyDescent="0.25">
      <c r="A594" s="1" t="s">
        <v>0</v>
      </c>
      <c r="B594" s="1" t="s">
        <v>1</v>
      </c>
      <c r="C594" s="1" t="s">
        <v>2</v>
      </c>
      <c r="D594" s="1" t="s">
        <v>3</v>
      </c>
      <c r="E594" s="1" t="s">
        <v>4</v>
      </c>
      <c r="F594" s="2" t="s">
        <v>5</v>
      </c>
      <c r="G594" s="9" t="s">
        <v>40</v>
      </c>
      <c r="H594" s="1" t="s">
        <v>6</v>
      </c>
      <c r="I594" s="2" t="s">
        <v>7</v>
      </c>
      <c r="J594" s="1" t="s">
        <v>8</v>
      </c>
      <c r="K594" s="1" t="s">
        <v>9</v>
      </c>
    </row>
    <row r="595" spans="1:11" x14ac:dyDescent="0.25">
      <c r="A595" s="3">
        <v>45324</v>
      </c>
      <c r="B595" t="s">
        <v>210</v>
      </c>
      <c r="C595" t="s">
        <v>241</v>
      </c>
      <c r="D595" t="s">
        <v>12</v>
      </c>
      <c r="E595">
        <v>2015</v>
      </c>
      <c r="F595" s="4">
        <v>99496</v>
      </c>
      <c r="G595" s="10" t="s">
        <v>242</v>
      </c>
      <c r="H595" t="s">
        <v>243</v>
      </c>
      <c r="I595" s="4">
        <v>120000</v>
      </c>
    </row>
    <row r="596" spans="1:11" x14ac:dyDescent="0.25">
      <c r="H596" t="s">
        <v>244</v>
      </c>
      <c r="I596" s="4">
        <v>40000</v>
      </c>
    </row>
    <row r="598" spans="1:11" x14ac:dyDescent="0.25">
      <c r="H598" t="s">
        <v>17</v>
      </c>
      <c r="I598" s="4">
        <f>SUM(I595:I597)</f>
        <v>160000</v>
      </c>
    </row>
    <row r="600" spans="1:11" x14ac:dyDescent="0.25">
      <c r="A600" s="1" t="s">
        <v>0</v>
      </c>
      <c r="B600" s="1" t="s">
        <v>1</v>
      </c>
      <c r="C600" s="1" t="s">
        <v>2</v>
      </c>
      <c r="D600" s="1" t="s">
        <v>3</v>
      </c>
      <c r="E600" s="1" t="s">
        <v>4</v>
      </c>
      <c r="F600" s="2" t="s">
        <v>5</v>
      </c>
      <c r="G600" s="9" t="s">
        <v>40</v>
      </c>
      <c r="H600" s="1" t="s">
        <v>6</v>
      </c>
      <c r="I600" s="2" t="s">
        <v>7</v>
      </c>
      <c r="J600" s="1" t="s">
        <v>8</v>
      </c>
      <c r="K600" s="1" t="s">
        <v>9</v>
      </c>
    </row>
    <row r="601" spans="1:11" x14ac:dyDescent="0.25">
      <c r="A601" s="3">
        <v>45324</v>
      </c>
      <c r="B601" t="s">
        <v>10</v>
      </c>
      <c r="C601" t="s">
        <v>245</v>
      </c>
      <c r="H601" t="s">
        <v>246</v>
      </c>
      <c r="I601" s="4">
        <v>40000</v>
      </c>
    </row>
    <row r="602" spans="1:11" x14ac:dyDescent="0.25">
      <c r="H602" t="s">
        <v>232</v>
      </c>
      <c r="I602" s="4">
        <v>60000</v>
      </c>
    </row>
    <row r="604" spans="1:11" x14ac:dyDescent="0.25">
      <c r="H604" t="s">
        <v>17</v>
      </c>
      <c r="I604" s="4">
        <f>SUM(I601:I603)</f>
        <v>100000</v>
      </c>
    </row>
    <row r="606" spans="1:11" x14ac:dyDescent="0.25">
      <c r="A606" s="1" t="s">
        <v>0</v>
      </c>
      <c r="B606" s="1" t="s">
        <v>1</v>
      </c>
      <c r="C606" s="1" t="s">
        <v>2</v>
      </c>
      <c r="D606" s="1" t="s">
        <v>3</v>
      </c>
      <c r="E606" s="1" t="s">
        <v>4</v>
      </c>
      <c r="F606" s="2" t="s">
        <v>5</v>
      </c>
      <c r="G606" s="9" t="s">
        <v>40</v>
      </c>
      <c r="H606" s="1" t="s">
        <v>6</v>
      </c>
      <c r="I606" s="2" t="s">
        <v>7</v>
      </c>
      <c r="J606" s="1" t="s">
        <v>8</v>
      </c>
      <c r="K606" s="1" t="s">
        <v>9</v>
      </c>
    </row>
    <row r="607" spans="1:11" x14ac:dyDescent="0.25">
      <c r="A607" s="3">
        <v>45324</v>
      </c>
      <c r="B607" t="s">
        <v>247</v>
      </c>
      <c r="C607" t="s">
        <v>248</v>
      </c>
      <c r="D607" t="s">
        <v>19</v>
      </c>
      <c r="G607" s="10" t="s">
        <v>249</v>
      </c>
      <c r="H607" t="s">
        <v>250</v>
      </c>
    </row>
    <row r="608" spans="1:11" x14ac:dyDescent="0.25">
      <c r="H608" t="s">
        <v>251</v>
      </c>
    </row>
    <row r="610" spans="1:11" x14ac:dyDescent="0.25">
      <c r="H610" t="s">
        <v>17</v>
      </c>
      <c r="I610" s="4">
        <v>40000</v>
      </c>
    </row>
    <row r="612" spans="1:11" x14ac:dyDescent="0.25">
      <c r="A612" s="1" t="s">
        <v>0</v>
      </c>
      <c r="B612" s="1" t="s">
        <v>1</v>
      </c>
      <c r="C612" s="1" t="s">
        <v>2</v>
      </c>
      <c r="D612" s="1" t="s">
        <v>3</v>
      </c>
      <c r="E612" s="1" t="s">
        <v>4</v>
      </c>
      <c r="F612" s="2" t="s">
        <v>5</v>
      </c>
      <c r="G612" s="9" t="s">
        <v>40</v>
      </c>
      <c r="H612" s="1" t="s">
        <v>6</v>
      </c>
      <c r="I612" s="2" t="s">
        <v>7</v>
      </c>
      <c r="J612" s="1" t="s">
        <v>8</v>
      </c>
      <c r="K612" s="1" t="s">
        <v>9</v>
      </c>
    </row>
    <row r="613" spans="1:11" x14ac:dyDescent="0.25">
      <c r="A613" s="3">
        <v>45324</v>
      </c>
      <c r="B613" t="s">
        <v>10</v>
      </c>
      <c r="C613" t="s">
        <v>450</v>
      </c>
      <c r="D613" t="s">
        <v>12</v>
      </c>
      <c r="E613">
        <v>2010</v>
      </c>
      <c r="G613" s="10" t="s">
        <v>216</v>
      </c>
      <c r="H613" t="s">
        <v>559</v>
      </c>
    </row>
    <row r="614" spans="1:11" x14ac:dyDescent="0.25">
      <c r="H614" t="s">
        <v>560</v>
      </c>
    </row>
    <row r="616" spans="1:11" x14ac:dyDescent="0.25">
      <c r="H616" t="s">
        <v>17</v>
      </c>
    </row>
    <row r="618" spans="1:11" x14ac:dyDescent="0.25">
      <c r="A618" s="1" t="s">
        <v>0</v>
      </c>
      <c r="B618" s="1" t="s">
        <v>1</v>
      </c>
      <c r="C618" s="1" t="s">
        <v>2</v>
      </c>
      <c r="D618" s="1" t="s">
        <v>3</v>
      </c>
      <c r="E618" s="1" t="s">
        <v>4</v>
      </c>
      <c r="F618" s="2" t="s">
        <v>5</v>
      </c>
      <c r="G618" s="9" t="s">
        <v>40</v>
      </c>
      <c r="H618" s="1" t="s">
        <v>6</v>
      </c>
      <c r="I618" s="2" t="s">
        <v>7</v>
      </c>
      <c r="J618" s="1" t="s">
        <v>8</v>
      </c>
      <c r="K618" s="1" t="s">
        <v>9</v>
      </c>
    </row>
    <row r="619" spans="1:11" x14ac:dyDescent="0.25">
      <c r="A619" s="3">
        <v>45325</v>
      </c>
      <c r="B619" t="s">
        <v>252</v>
      </c>
      <c r="D619" t="s">
        <v>26</v>
      </c>
      <c r="H619" t="s">
        <v>253</v>
      </c>
      <c r="I619" s="4">
        <v>350000</v>
      </c>
    </row>
    <row r="620" spans="1:11" x14ac:dyDescent="0.25">
      <c r="H620" t="s">
        <v>254</v>
      </c>
      <c r="I620" s="4">
        <v>250000</v>
      </c>
    </row>
    <row r="621" spans="1:11" x14ac:dyDescent="0.25">
      <c r="H621" t="s">
        <v>255</v>
      </c>
      <c r="I621" s="4">
        <v>165000</v>
      </c>
    </row>
    <row r="622" spans="1:11" x14ac:dyDescent="0.25">
      <c r="H622" t="s">
        <v>256</v>
      </c>
      <c r="I622" s="4">
        <v>45000</v>
      </c>
    </row>
    <row r="623" spans="1:11" x14ac:dyDescent="0.25">
      <c r="H623" t="s">
        <v>257</v>
      </c>
      <c r="I623" s="4">
        <v>45000</v>
      </c>
    </row>
    <row r="624" spans="1:11" x14ac:dyDescent="0.25">
      <c r="H624" t="s">
        <v>258</v>
      </c>
      <c r="I624" s="4">
        <v>35000</v>
      </c>
    </row>
    <row r="625" spans="1:11" x14ac:dyDescent="0.25">
      <c r="H625" t="s">
        <v>154</v>
      </c>
      <c r="I625" s="4">
        <v>16000</v>
      </c>
    </row>
    <row r="626" spans="1:11" x14ac:dyDescent="0.25">
      <c r="H626" t="s">
        <v>155</v>
      </c>
      <c r="I626" s="4">
        <v>45000</v>
      </c>
    </row>
    <row r="627" spans="1:11" x14ac:dyDescent="0.25">
      <c r="H627" t="s">
        <v>259</v>
      </c>
      <c r="I627" s="4">
        <v>45000</v>
      </c>
    </row>
    <row r="628" spans="1:11" x14ac:dyDescent="0.25">
      <c r="H628" t="s">
        <v>34</v>
      </c>
      <c r="I628" s="4">
        <v>48000</v>
      </c>
    </row>
    <row r="629" spans="1:11" x14ac:dyDescent="0.25">
      <c r="H629" t="s">
        <v>15</v>
      </c>
      <c r="I629" s="4">
        <v>17000</v>
      </c>
    </row>
    <row r="630" spans="1:11" x14ac:dyDescent="0.25">
      <c r="H630" t="s">
        <v>260</v>
      </c>
      <c r="I630" s="4">
        <v>180000</v>
      </c>
    </row>
    <row r="631" spans="1:11" x14ac:dyDescent="0.25">
      <c r="H631" t="s">
        <v>55</v>
      </c>
      <c r="I631" s="4">
        <v>180000</v>
      </c>
    </row>
    <row r="632" spans="1:11" x14ac:dyDescent="0.25">
      <c r="H632" t="s">
        <v>59</v>
      </c>
      <c r="I632" s="4">
        <v>190000</v>
      </c>
    </row>
    <row r="634" spans="1:11" x14ac:dyDescent="0.25">
      <c r="H634" t="s">
        <v>17</v>
      </c>
      <c r="I634" s="4">
        <f>SUM(I619:I633)</f>
        <v>1611000</v>
      </c>
    </row>
    <row r="636" spans="1:11" x14ac:dyDescent="0.25">
      <c r="A636" s="1" t="s">
        <v>0</v>
      </c>
      <c r="B636" s="1" t="s">
        <v>1</v>
      </c>
      <c r="C636" s="1" t="s">
        <v>2</v>
      </c>
      <c r="D636" s="1" t="s">
        <v>3</v>
      </c>
      <c r="E636" s="1" t="s">
        <v>4</v>
      </c>
      <c r="F636" s="2" t="s">
        <v>5</v>
      </c>
      <c r="G636" s="9" t="s">
        <v>40</v>
      </c>
      <c r="H636" s="1" t="s">
        <v>6</v>
      </c>
      <c r="I636" s="2" t="s">
        <v>7</v>
      </c>
      <c r="J636" s="1" t="s">
        <v>8</v>
      </c>
      <c r="K636" s="1" t="s">
        <v>9</v>
      </c>
    </row>
    <row r="637" spans="1:11" x14ac:dyDescent="0.25">
      <c r="A637" s="3">
        <v>45324</v>
      </c>
      <c r="B637" t="s">
        <v>521</v>
      </c>
      <c r="C637" t="s">
        <v>522</v>
      </c>
      <c r="D637" t="s">
        <v>19</v>
      </c>
      <c r="G637" s="10" t="s">
        <v>523</v>
      </c>
      <c r="H637" t="s">
        <v>524</v>
      </c>
    </row>
    <row r="638" spans="1:11" x14ac:dyDescent="0.25">
      <c r="H638" t="s">
        <v>250</v>
      </c>
    </row>
    <row r="639" spans="1:11" x14ac:dyDescent="0.25">
      <c r="H639" t="s">
        <v>525</v>
      </c>
    </row>
    <row r="641" spans="1:11" x14ac:dyDescent="0.25">
      <c r="H641" t="s">
        <v>17</v>
      </c>
    </row>
    <row r="643" spans="1:11" x14ac:dyDescent="0.25">
      <c r="A643" s="1" t="s">
        <v>0</v>
      </c>
      <c r="B643" s="1" t="s">
        <v>1</v>
      </c>
      <c r="C643" s="1" t="s">
        <v>2</v>
      </c>
      <c r="D643" s="1" t="s">
        <v>3</v>
      </c>
      <c r="E643" s="1" t="s">
        <v>4</v>
      </c>
      <c r="F643" s="2" t="s">
        <v>5</v>
      </c>
      <c r="G643" s="9" t="s">
        <v>40</v>
      </c>
      <c r="H643" s="1" t="s">
        <v>6</v>
      </c>
      <c r="I643" s="2" t="s">
        <v>7</v>
      </c>
      <c r="J643" s="1" t="s">
        <v>8</v>
      </c>
      <c r="K643" s="1" t="s">
        <v>9</v>
      </c>
    </row>
    <row r="644" spans="1:11" x14ac:dyDescent="0.25">
      <c r="A644" s="3">
        <v>45325</v>
      </c>
      <c r="B644" t="s">
        <v>29</v>
      </c>
      <c r="C644" t="s">
        <v>526</v>
      </c>
      <c r="D644" t="s">
        <v>19</v>
      </c>
      <c r="F644" s="4">
        <v>158816</v>
      </c>
      <c r="G644" s="10" t="s">
        <v>527</v>
      </c>
      <c r="H644" t="s">
        <v>68</v>
      </c>
    </row>
    <row r="646" spans="1:11" x14ac:dyDescent="0.25">
      <c r="H646" t="s">
        <v>17</v>
      </c>
    </row>
    <row r="648" spans="1:11" x14ac:dyDescent="0.25">
      <c r="A648" s="1" t="s">
        <v>0</v>
      </c>
      <c r="B648" s="1" t="s">
        <v>1</v>
      </c>
      <c r="C648" s="1" t="s">
        <v>2</v>
      </c>
      <c r="D648" s="1" t="s">
        <v>3</v>
      </c>
      <c r="E648" s="1" t="s">
        <v>4</v>
      </c>
      <c r="F648" s="2" t="s">
        <v>5</v>
      </c>
      <c r="G648" s="9" t="s">
        <v>40</v>
      </c>
      <c r="H648" s="1" t="s">
        <v>6</v>
      </c>
      <c r="I648" s="2" t="s">
        <v>7</v>
      </c>
      <c r="J648" s="1" t="s">
        <v>8</v>
      </c>
      <c r="K648" s="1" t="s">
        <v>9</v>
      </c>
    </row>
    <row r="649" spans="1:11" x14ac:dyDescent="0.25">
      <c r="A649" s="3">
        <v>45325</v>
      </c>
      <c r="B649" t="s">
        <v>10</v>
      </c>
      <c r="C649" t="s">
        <v>528</v>
      </c>
      <c r="D649" t="s">
        <v>31</v>
      </c>
      <c r="G649" s="10" t="s">
        <v>529</v>
      </c>
      <c r="H649" t="s">
        <v>48</v>
      </c>
    </row>
    <row r="650" spans="1:11" x14ac:dyDescent="0.25">
      <c r="H650" t="s">
        <v>408</v>
      </c>
    </row>
    <row r="651" spans="1:11" x14ac:dyDescent="0.25">
      <c r="H651" t="s">
        <v>530</v>
      </c>
    </row>
    <row r="653" spans="1:11" x14ac:dyDescent="0.25">
      <c r="H653" t="s">
        <v>17</v>
      </c>
    </row>
    <row r="655" spans="1:11" x14ac:dyDescent="0.25">
      <c r="A655" s="1" t="s">
        <v>0</v>
      </c>
      <c r="B655" s="1" t="s">
        <v>1</v>
      </c>
      <c r="C655" s="1" t="s">
        <v>2</v>
      </c>
      <c r="D655" s="1" t="s">
        <v>3</v>
      </c>
      <c r="E655" s="1" t="s">
        <v>4</v>
      </c>
      <c r="F655" s="2" t="s">
        <v>5</v>
      </c>
      <c r="G655" s="9" t="s">
        <v>40</v>
      </c>
      <c r="H655" s="1" t="s">
        <v>6</v>
      </c>
      <c r="I655" s="2" t="s">
        <v>7</v>
      </c>
      <c r="J655" s="1" t="s">
        <v>8</v>
      </c>
      <c r="K655" s="1" t="s">
        <v>9</v>
      </c>
    </row>
    <row r="656" spans="1:11" x14ac:dyDescent="0.25">
      <c r="A656" s="3">
        <v>45327</v>
      </c>
      <c r="B656" t="s">
        <v>531</v>
      </c>
      <c r="D656" t="s">
        <v>19</v>
      </c>
      <c r="G656" s="10" t="s">
        <v>532</v>
      </c>
      <c r="H656" t="s">
        <v>533</v>
      </c>
    </row>
    <row r="657" spans="1:11" x14ac:dyDescent="0.25">
      <c r="H657" t="s">
        <v>534</v>
      </c>
    </row>
    <row r="658" spans="1:11" x14ac:dyDescent="0.25">
      <c r="H658" t="s">
        <v>170</v>
      </c>
    </row>
    <row r="660" spans="1:11" x14ac:dyDescent="0.25">
      <c r="H660" t="s">
        <v>17</v>
      </c>
    </row>
    <row r="662" spans="1:11" x14ac:dyDescent="0.25">
      <c r="A662" s="1" t="s">
        <v>0</v>
      </c>
      <c r="B662" s="1" t="s">
        <v>1</v>
      </c>
      <c r="C662" s="1" t="s">
        <v>2</v>
      </c>
      <c r="D662" s="1" t="s">
        <v>3</v>
      </c>
      <c r="E662" s="1" t="s">
        <v>4</v>
      </c>
      <c r="F662" s="2" t="s">
        <v>5</v>
      </c>
      <c r="G662" s="9" t="s">
        <v>40</v>
      </c>
      <c r="H662" s="1" t="s">
        <v>6</v>
      </c>
      <c r="I662" s="2" t="s">
        <v>7</v>
      </c>
      <c r="J662" s="1" t="s">
        <v>8</v>
      </c>
      <c r="K662" s="1" t="s">
        <v>9</v>
      </c>
    </row>
    <row r="663" spans="1:11" x14ac:dyDescent="0.25">
      <c r="A663" s="3">
        <v>45327</v>
      </c>
      <c r="B663" t="s">
        <v>71</v>
      </c>
      <c r="D663" t="s">
        <v>12</v>
      </c>
      <c r="E663">
        <v>2015</v>
      </c>
      <c r="G663" s="10" t="s">
        <v>131</v>
      </c>
      <c r="H663" t="s">
        <v>535</v>
      </c>
    </row>
    <row r="664" spans="1:11" x14ac:dyDescent="0.25">
      <c r="H664" t="s">
        <v>536</v>
      </c>
    </row>
    <row r="665" spans="1:11" x14ac:dyDescent="0.25">
      <c r="H665" t="s">
        <v>485</v>
      </c>
    </row>
    <row r="667" spans="1:11" x14ac:dyDescent="0.25">
      <c r="H667" t="s">
        <v>17</v>
      </c>
    </row>
    <row r="669" spans="1:11" x14ac:dyDescent="0.25">
      <c r="A669" s="1" t="s">
        <v>0</v>
      </c>
      <c r="B669" s="1" t="s">
        <v>1</v>
      </c>
      <c r="C669" s="1" t="s">
        <v>2</v>
      </c>
      <c r="D669" s="1" t="s">
        <v>3</v>
      </c>
      <c r="E669" s="1" t="s">
        <v>4</v>
      </c>
      <c r="F669" s="2" t="s">
        <v>5</v>
      </c>
      <c r="G669" s="9" t="s">
        <v>40</v>
      </c>
      <c r="H669" s="1" t="s">
        <v>6</v>
      </c>
      <c r="I669" s="2" t="s">
        <v>7</v>
      </c>
      <c r="J669" s="1" t="s">
        <v>8</v>
      </c>
      <c r="K669" s="1" t="s">
        <v>9</v>
      </c>
    </row>
    <row r="670" spans="1:11" x14ac:dyDescent="0.25">
      <c r="A670" s="3">
        <v>45327</v>
      </c>
      <c r="B670" t="s">
        <v>29</v>
      </c>
      <c r="C670" t="s">
        <v>263</v>
      </c>
      <c r="D670" t="s">
        <v>264</v>
      </c>
      <c r="F670" s="4">
        <v>107690</v>
      </c>
      <c r="G670" s="10" t="s">
        <v>265</v>
      </c>
      <c r="H670" t="s">
        <v>266</v>
      </c>
      <c r="I670" s="4">
        <v>223000</v>
      </c>
    </row>
    <row r="671" spans="1:11" x14ac:dyDescent="0.25">
      <c r="H671" t="s">
        <v>267</v>
      </c>
      <c r="I671" s="4">
        <v>266000</v>
      </c>
    </row>
    <row r="672" spans="1:11" x14ac:dyDescent="0.25">
      <c r="H672" t="s">
        <v>193</v>
      </c>
      <c r="I672" s="4">
        <v>453500</v>
      </c>
    </row>
    <row r="673" spans="1:11" x14ac:dyDescent="0.25">
      <c r="H673" t="s">
        <v>14</v>
      </c>
      <c r="I673" s="4">
        <v>46000</v>
      </c>
    </row>
    <row r="674" spans="1:11" x14ac:dyDescent="0.25">
      <c r="H674" t="s">
        <v>15</v>
      </c>
      <c r="I674" s="4">
        <v>114000</v>
      </c>
    </row>
    <row r="675" spans="1:11" x14ac:dyDescent="0.25">
      <c r="H675" t="s">
        <v>268</v>
      </c>
      <c r="I675" s="4">
        <v>91200</v>
      </c>
    </row>
    <row r="676" spans="1:11" x14ac:dyDescent="0.25">
      <c r="H676" t="s">
        <v>16</v>
      </c>
      <c r="I676" s="4">
        <v>120000</v>
      </c>
    </row>
    <row r="677" spans="1:11" x14ac:dyDescent="0.25">
      <c r="H677" t="s">
        <v>269</v>
      </c>
      <c r="I677" s="4">
        <v>225000</v>
      </c>
    </row>
    <row r="678" spans="1:11" x14ac:dyDescent="0.25">
      <c r="H678" t="s">
        <v>33</v>
      </c>
      <c r="I678" s="4">
        <v>20000</v>
      </c>
    </row>
    <row r="680" spans="1:11" x14ac:dyDescent="0.25">
      <c r="H680" t="s">
        <v>17</v>
      </c>
      <c r="I680" s="4">
        <f>SUM(I670:I679)</f>
        <v>1558700</v>
      </c>
    </row>
    <row r="682" spans="1:11" x14ac:dyDescent="0.25">
      <c r="A682" s="1" t="s">
        <v>0</v>
      </c>
      <c r="B682" s="1" t="s">
        <v>1</v>
      </c>
      <c r="C682" s="1" t="s">
        <v>2</v>
      </c>
      <c r="D682" s="1" t="s">
        <v>3</v>
      </c>
      <c r="E682" s="1" t="s">
        <v>4</v>
      </c>
      <c r="F682" s="2" t="s">
        <v>5</v>
      </c>
      <c r="G682" s="9" t="s">
        <v>40</v>
      </c>
      <c r="H682" s="1" t="s">
        <v>6</v>
      </c>
      <c r="I682" s="2" t="s">
        <v>7</v>
      </c>
      <c r="J682" s="1" t="s">
        <v>8</v>
      </c>
      <c r="K682" s="1" t="s">
        <v>9</v>
      </c>
    </row>
    <row r="683" spans="1:11" x14ac:dyDescent="0.25">
      <c r="A683" s="3">
        <v>45327</v>
      </c>
      <c r="B683" t="s">
        <v>10</v>
      </c>
      <c r="C683" t="s">
        <v>270</v>
      </c>
      <c r="D683" t="s">
        <v>12</v>
      </c>
      <c r="F683" s="4">
        <v>149467</v>
      </c>
      <c r="G683" s="10" t="s">
        <v>271</v>
      </c>
      <c r="H683" t="s">
        <v>37</v>
      </c>
      <c r="I683" s="4">
        <v>290000</v>
      </c>
    </row>
    <row r="684" spans="1:11" x14ac:dyDescent="0.25">
      <c r="H684" t="s">
        <v>20</v>
      </c>
      <c r="I684" s="4">
        <v>140000</v>
      </c>
    </row>
    <row r="685" spans="1:11" x14ac:dyDescent="0.25">
      <c r="H685" t="s">
        <v>61</v>
      </c>
      <c r="I685" s="4">
        <v>140000</v>
      </c>
    </row>
    <row r="686" spans="1:11" x14ac:dyDescent="0.25">
      <c r="H686" t="s">
        <v>33</v>
      </c>
      <c r="I686" s="4">
        <v>20000</v>
      </c>
    </row>
    <row r="688" spans="1:11" x14ac:dyDescent="0.25">
      <c r="H688" t="s">
        <v>17</v>
      </c>
      <c r="I688" s="4">
        <f>SUM(I683:I687)</f>
        <v>590000</v>
      </c>
    </row>
    <row r="690" spans="1:11" x14ac:dyDescent="0.25">
      <c r="A690" s="1" t="s">
        <v>0</v>
      </c>
      <c r="B690" s="1" t="s">
        <v>1</v>
      </c>
      <c r="C690" s="1" t="s">
        <v>2</v>
      </c>
      <c r="D690" s="1" t="s">
        <v>3</v>
      </c>
      <c r="E690" s="1" t="s">
        <v>4</v>
      </c>
      <c r="F690" s="2" t="s">
        <v>5</v>
      </c>
      <c r="G690" s="9" t="s">
        <v>40</v>
      </c>
      <c r="H690" s="1" t="s">
        <v>6</v>
      </c>
      <c r="I690" s="2" t="s">
        <v>7</v>
      </c>
      <c r="J690" s="1" t="s">
        <v>8</v>
      </c>
      <c r="K690" s="1" t="s">
        <v>9</v>
      </c>
    </row>
    <row r="691" spans="1:11" x14ac:dyDescent="0.25">
      <c r="A691" s="3">
        <v>45328</v>
      </c>
      <c r="B691" t="s">
        <v>261</v>
      </c>
      <c r="C691" t="s">
        <v>262</v>
      </c>
      <c r="D691" t="s">
        <v>87</v>
      </c>
      <c r="F691" s="4">
        <v>19594</v>
      </c>
      <c r="H691" t="s">
        <v>106</v>
      </c>
      <c r="I691" s="4">
        <v>140000</v>
      </c>
    </row>
    <row r="692" spans="1:11" x14ac:dyDescent="0.25">
      <c r="H692" t="s">
        <v>34</v>
      </c>
      <c r="I692" s="4">
        <v>40000</v>
      </c>
    </row>
    <row r="693" spans="1:11" x14ac:dyDescent="0.25">
      <c r="H693" t="s">
        <v>15</v>
      </c>
      <c r="I693" s="4">
        <v>12000</v>
      </c>
    </row>
    <row r="694" spans="1:11" x14ac:dyDescent="0.25">
      <c r="H694" t="s">
        <v>21</v>
      </c>
      <c r="I694" s="4">
        <v>25000</v>
      </c>
    </row>
    <row r="695" spans="1:11" x14ac:dyDescent="0.25">
      <c r="H695" t="s">
        <v>152</v>
      </c>
      <c r="I695" s="4">
        <v>60000</v>
      </c>
    </row>
    <row r="697" spans="1:11" x14ac:dyDescent="0.25">
      <c r="H697" t="s">
        <v>17</v>
      </c>
      <c r="I697" s="4">
        <f>SUM(I691:I696)</f>
        <v>277000</v>
      </c>
    </row>
    <row r="699" spans="1:11" x14ac:dyDescent="0.25">
      <c r="A699" s="1" t="s">
        <v>0</v>
      </c>
      <c r="B699" s="1" t="s">
        <v>1</v>
      </c>
      <c r="C699" s="1" t="s">
        <v>2</v>
      </c>
      <c r="D699" s="1" t="s">
        <v>3</v>
      </c>
      <c r="E699" s="1" t="s">
        <v>4</v>
      </c>
      <c r="F699" s="2" t="s">
        <v>5</v>
      </c>
      <c r="G699" s="9" t="s">
        <v>40</v>
      </c>
      <c r="H699" s="1" t="s">
        <v>6</v>
      </c>
      <c r="I699" s="2" t="s">
        <v>7</v>
      </c>
      <c r="J699" s="1" t="s">
        <v>8</v>
      </c>
      <c r="K699" s="1" t="s">
        <v>9</v>
      </c>
    </row>
    <row r="700" spans="1:11" x14ac:dyDescent="0.25">
      <c r="A700" s="3">
        <v>45329</v>
      </c>
      <c r="B700" t="s">
        <v>272</v>
      </c>
      <c r="C700" t="s">
        <v>273</v>
      </c>
      <c r="E700">
        <v>2014</v>
      </c>
      <c r="F700" s="4">
        <v>94413</v>
      </c>
      <c r="G700" s="10" t="s">
        <v>274</v>
      </c>
      <c r="H700" t="s">
        <v>33</v>
      </c>
      <c r="I700" s="4">
        <v>20000</v>
      </c>
    </row>
    <row r="701" spans="1:11" x14ac:dyDescent="0.25">
      <c r="H701" t="s">
        <v>59</v>
      </c>
      <c r="I701" s="4">
        <v>190000</v>
      </c>
    </row>
    <row r="702" spans="1:11" x14ac:dyDescent="0.25">
      <c r="H702" t="s">
        <v>275</v>
      </c>
      <c r="I702" s="4">
        <v>20000</v>
      </c>
    </row>
    <row r="703" spans="1:11" x14ac:dyDescent="0.25">
      <c r="H703" t="s">
        <v>50</v>
      </c>
      <c r="I703" s="4">
        <v>28000</v>
      </c>
    </row>
    <row r="704" spans="1:11" x14ac:dyDescent="0.25">
      <c r="H704" t="s">
        <v>276</v>
      </c>
      <c r="I704" s="4">
        <v>30000</v>
      </c>
    </row>
    <row r="706" spans="1:11" x14ac:dyDescent="0.25">
      <c r="H706" t="s">
        <v>17</v>
      </c>
      <c r="I706" s="4">
        <f>SUM(I700:I705)</f>
        <v>288000</v>
      </c>
    </row>
    <row r="708" spans="1:11" x14ac:dyDescent="0.25">
      <c r="A708" s="1" t="s">
        <v>0</v>
      </c>
      <c r="B708" s="1" t="s">
        <v>1</v>
      </c>
      <c r="C708" s="1" t="s">
        <v>2</v>
      </c>
      <c r="D708" s="1" t="s">
        <v>3</v>
      </c>
      <c r="E708" s="1" t="s">
        <v>4</v>
      </c>
      <c r="F708" s="2" t="s">
        <v>5</v>
      </c>
      <c r="G708" s="9" t="s">
        <v>40</v>
      </c>
      <c r="H708" s="1" t="s">
        <v>6</v>
      </c>
      <c r="I708" s="2" t="s">
        <v>7</v>
      </c>
      <c r="J708" s="1" t="s">
        <v>8</v>
      </c>
      <c r="K708" s="1" t="s">
        <v>9</v>
      </c>
    </row>
    <row r="709" spans="1:11" x14ac:dyDescent="0.25">
      <c r="A709" s="3">
        <v>45329</v>
      </c>
      <c r="B709" t="s">
        <v>122</v>
      </c>
      <c r="C709" t="s">
        <v>123</v>
      </c>
      <c r="D709" t="s">
        <v>19</v>
      </c>
      <c r="F709" s="4">
        <v>20884</v>
      </c>
      <c r="G709" s="10" t="s">
        <v>265</v>
      </c>
      <c r="H709" t="s">
        <v>59</v>
      </c>
      <c r="I709" s="4">
        <v>190000</v>
      </c>
    </row>
    <row r="710" spans="1:11" x14ac:dyDescent="0.25">
      <c r="H710" t="s">
        <v>277</v>
      </c>
      <c r="I710" s="4">
        <v>10000</v>
      </c>
    </row>
    <row r="712" spans="1:11" x14ac:dyDescent="0.25">
      <c r="H712" t="s">
        <v>17</v>
      </c>
      <c r="I712" s="4">
        <f>SUM(I709:I711)</f>
        <v>200000</v>
      </c>
    </row>
    <row r="714" spans="1:11" x14ac:dyDescent="0.25">
      <c r="A714" s="1" t="s">
        <v>0</v>
      </c>
      <c r="B714" s="1" t="s">
        <v>1</v>
      </c>
      <c r="C714" s="1" t="s">
        <v>2</v>
      </c>
      <c r="D714" s="1" t="s">
        <v>3</v>
      </c>
      <c r="E714" s="1" t="s">
        <v>4</v>
      </c>
      <c r="F714" s="2" t="s">
        <v>5</v>
      </c>
      <c r="G714" s="9" t="s">
        <v>40</v>
      </c>
      <c r="H714" s="1" t="s">
        <v>6</v>
      </c>
      <c r="I714" s="2" t="s">
        <v>7</v>
      </c>
      <c r="J714" s="1" t="s">
        <v>8</v>
      </c>
      <c r="K714" s="1" t="s">
        <v>9</v>
      </c>
    </row>
    <row r="715" spans="1:11" x14ac:dyDescent="0.25">
      <c r="A715" s="3">
        <v>45330</v>
      </c>
      <c r="B715" t="s">
        <v>278</v>
      </c>
      <c r="C715" t="s">
        <v>279</v>
      </c>
      <c r="D715" t="s">
        <v>19</v>
      </c>
      <c r="F715" s="4">
        <v>14885</v>
      </c>
      <c r="G715" s="10" t="s">
        <v>280</v>
      </c>
      <c r="H715" t="s">
        <v>204</v>
      </c>
    </row>
    <row r="716" spans="1:11" x14ac:dyDescent="0.25">
      <c r="H716" t="s">
        <v>14</v>
      </c>
    </row>
    <row r="717" spans="1:11" x14ac:dyDescent="0.25">
      <c r="H717" t="s">
        <v>15</v>
      </c>
    </row>
    <row r="719" spans="1:11" x14ac:dyDescent="0.25">
      <c r="H719" t="s">
        <v>17</v>
      </c>
    </row>
    <row r="721" spans="1:11" x14ac:dyDescent="0.25">
      <c r="A721" s="1" t="s">
        <v>0</v>
      </c>
      <c r="B721" s="1" t="s">
        <v>1</v>
      </c>
      <c r="C721" s="1" t="s">
        <v>2</v>
      </c>
      <c r="D721" s="1" t="s">
        <v>3</v>
      </c>
      <c r="E721" s="1" t="s">
        <v>4</v>
      </c>
      <c r="F721" s="2" t="s">
        <v>5</v>
      </c>
      <c r="G721" s="9" t="s">
        <v>40</v>
      </c>
      <c r="H721" s="1" t="s">
        <v>6</v>
      </c>
      <c r="I721" s="2" t="s">
        <v>7</v>
      </c>
      <c r="J721" s="1" t="s">
        <v>8</v>
      </c>
      <c r="K721" s="1" t="s">
        <v>9</v>
      </c>
    </row>
    <row r="722" spans="1:11" x14ac:dyDescent="0.25">
      <c r="A722" s="3">
        <v>45331</v>
      </c>
      <c r="B722" t="s">
        <v>201</v>
      </c>
      <c r="C722" t="s">
        <v>295</v>
      </c>
      <c r="D722" t="s">
        <v>19</v>
      </c>
      <c r="F722" s="4">
        <v>33606</v>
      </c>
      <c r="H722" t="s">
        <v>14</v>
      </c>
    </row>
    <row r="723" spans="1:11" x14ac:dyDescent="0.25">
      <c r="H723" t="s">
        <v>296</v>
      </c>
    </row>
    <row r="724" spans="1:11" x14ac:dyDescent="0.25">
      <c r="H724" t="s">
        <v>16</v>
      </c>
    </row>
    <row r="726" spans="1:11" x14ac:dyDescent="0.25">
      <c r="H726" t="s">
        <v>17</v>
      </c>
    </row>
    <row r="728" spans="1:11" x14ac:dyDescent="0.25">
      <c r="A728" s="1" t="s">
        <v>0</v>
      </c>
      <c r="B728" s="1" t="s">
        <v>1</v>
      </c>
      <c r="C728" s="1" t="s">
        <v>2</v>
      </c>
      <c r="D728" s="1" t="s">
        <v>3</v>
      </c>
      <c r="E728" s="1" t="s">
        <v>4</v>
      </c>
      <c r="F728" s="2" t="s">
        <v>5</v>
      </c>
      <c r="G728" s="9" t="s">
        <v>40</v>
      </c>
      <c r="H728" s="1" t="s">
        <v>6</v>
      </c>
      <c r="I728" s="2" t="s">
        <v>7</v>
      </c>
      <c r="J728" s="1" t="s">
        <v>8</v>
      </c>
      <c r="K728" s="1" t="s">
        <v>9</v>
      </c>
    </row>
    <row r="729" spans="1:11" x14ac:dyDescent="0.25">
      <c r="A729" s="3">
        <v>45332</v>
      </c>
      <c r="B729" t="s">
        <v>10</v>
      </c>
      <c r="C729" t="s">
        <v>297</v>
      </c>
      <c r="D729" t="s">
        <v>12</v>
      </c>
      <c r="E729">
        <v>2014</v>
      </c>
      <c r="F729" s="4">
        <v>104676</v>
      </c>
      <c r="G729" s="10" t="s">
        <v>298</v>
      </c>
      <c r="H729" t="s">
        <v>69</v>
      </c>
      <c r="I729" s="4">
        <v>1500000</v>
      </c>
    </row>
    <row r="730" spans="1:11" x14ac:dyDescent="0.25">
      <c r="H730" t="s">
        <v>14</v>
      </c>
      <c r="I730" s="4">
        <v>222000</v>
      </c>
    </row>
    <row r="731" spans="1:11" x14ac:dyDescent="0.25">
      <c r="H731" t="s">
        <v>15</v>
      </c>
      <c r="I731" s="4">
        <v>46000</v>
      </c>
    </row>
    <row r="732" spans="1:11" x14ac:dyDescent="0.25">
      <c r="H732" t="s">
        <v>108</v>
      </c>
      <c r="I732" s="4">
        <v>35000</v>
      </c>
    </row>
    <row r="733" spans="1:11" x14ac:dyDescent="0.25">
      <c r="H733" t="s">
        <v>47</v>
      </c>
      <c r="I733" s="4">
        <v>220000</v>
      </c>
    </row>
    <row r="734" spans="1:11" x14ac:dyDescent="0.25">
      <c r="H734" t="s">
        <v>106</v>
      </c>
      <c r="I734" s="4">
        <v>150000</v>
      </c>
    </row>
    <row r="736" spans="1:11" x14ac:dyDescent="0.25">
      <c r="H736" t="s">
        <v>17</v>
      </c>
      <c r="I736" s="4">
        <f>SUM(I729:I735)</f>
        <v>2173000</v>
      </c>
    </row>
    <row r="738" spans="1:11" x14ac:dyDescent="0.25">
      <c r="A738" s="1" t="s">
        <v>0</v>
      </c>
      <c r="B738" s="1" t="s">
        <v>1</v>
      </c>
      <c r="C738" s="1" t="s">
        <v>2</v>
      </c>
      <c r="D738" s="1" t="s">
        <v>3</v>
      </c>
      <c r="E738" s="1" t="s">
        <v>4</v>
      </c>
      <c r="F738" s="2" t="s">
        <v>5</v>
      </c>
      <c r="G738" s="9" t="s">
        <v>40</v>
      </c>
      <c r="H738" s="1" t="s">
        <v>6</v>
      </c>
      <c r="I738" s="2" t="s">
        <v>7</v>
      </c>
      <c r="J738" s="1" t="s">
        <v>8</v>
      </c>
      <c r="K738" s="1" t="s">
        <v>9</v>
      </c>
    </row>
    <row r="739" spans="1:11" x14ac:dyDescent="0.25">
      <c r="A739" s="3">
        <v>45333</v>
      </c>
      <c r="C739" t="s">
        <v>98</v>
      </c>
      <c r="F739" s="4">
        <v>74956</v>
      </c>
      <c r="H739" t="s">
        <v>56</v>
      </c>
      <c r="I739" s="4">
        <v>350000</v>
      </c>
    </row>
    <row r="740" spans="1:11" x14ac:dyDescent="0.25">
      <c r="H740" t="s">
        <v>299</v>
      </c>
      <c r="I740" s="4">
        <v>250000</v>
      </c>
    </row>
    <row r="741" spans="1:11" x14ac:dyDescent="0.25">
      <c r="H741" t="s">
        <v>300</v>
      </c>
    </row>
    <row r="742" spans="1:11" x14ac:dyDescent="0.25">
      <c r="H742" t="s">
        <v>301</v>
      </c>
      <c r="I742" s="4">
        <v>60000</v>
      </c>
    </row>
    <row r="743" spans="1:11" x14ac:dyDescent="0.25">
      <c r="H743" t="s">
        <v>302</v>
      </c>
      <c r="I743" s="4">
        <v>30000</v>
      </c>
    </row>
    <row r="745" spans="1:11" x14ac:dyDescent="0.25">
      <c r="H745" t="s">
        <v>17</v>
      </c>
      <c r="I745" s="4">
        <f>SUM(I739:I744)</f>
        <v>690000</v>
      </c>
    </row>
    <row r="747" spans="1:11" x14ac:dyDescent="0.25">
      <c r="A747" s="1" t="s">
        <v>0</v>
      </c>
      <c r="B747" s="1" t="s">
        <v>1</v>
      </c>
      <c r="C747" s="1" t="s">
        <v>2</v>
      </c>
      <c r="D747" s="1" t="s">
        <v>3</v>
      </c>
      <c r="E747" s="1" t="s">
        <v>4</v>
      </c>
      <c r="F747" s="2" t="s">
        <v>5</v>
      </c>
      <c r="G747" s="9" t="s">
        <v>40</v>
      </c>
      <c r="H747" s="1" t="s">
        <v>6</v>
      </c>
      <c r="I747" s="2" t="s">
        <v>7</v>
      </c>
      <c r="J747" s="1" t="s">
        <v>8</v>
      </c>
      <c r="K747" s="1" t="s">
        <v>9</v>
      </c>
    </row>
    <row r="748" spans="1:11" x14ac:dyDescent="0.25">
      <c r="A748" s="3">
        <v>45333</v>
      </c>
      <c r="B748" t="s">
        <v>561</v>
      </c>
      <c r="C748" t="s">
        <v>562</v>
      </c>
      <c r="E748">
        <v>2020</v>
      </c>
      <c r="F748" s="4">
        <v>23000</v>
      </c>
      <c r="G748" s="10" t="s">
        <v>563</v>
      </c>
      <c r="H748" t="s">
        <v>14</v>
      </c>
    </row>
    <row r="750" spans="1:11" x14ac:dyDescent="0.25">
      <c r="H750" t="s">
        <v>17</v>
      </c>
    </row>
    <row r="752" spans="1:11" x14ac:dyDescent="0.25">
      <c r="A752" s="1" t="s">
        <v>0</v>
      </c>
      <c r="B752" s="1" t="s">
        <v>1</v>
      </c>
      <c r="C752" s="1" t="s">
        <v>2</v>
      </c>
      <c r="D752" s="1" t="s">
        <v>3</v>
      </c>
      <c r="E752" s="1" t="s">
        <v>4</v>
      </c>
      <c r="F752" s="2" t="s">
        <v>5</v>
      </c>
      <c r="G752" s="9" t="s">
        <v>40</v>
      </c>
      <c r="H752" s="1" t="s">
        <v>6</v>
      </c>
      <c r="I752" s="2" t="s">
        <v>7</v>
      </c>
      <c r="J752" s="1" t="s">
        <v>8</v>
      </c>
      <c r="K752" s="1" t="s">
        <v>9</v>
      </c>
    </row>
    <row r="753" spans="1:11" x14ac:dyDescent="0.25">
      <c r="A753" s="3">
        <v>45334</v>
      </c>
      <c r="B753" t="s">
        <v>303</v>
      </c>
      <c r="C753" t="s">
        <v>304</v>
      </c>
      <c r="E753">
        <v>2022</v>
      </c>
      <c r="F753" s="4">
        <v>6577</v>
      </c>
      <c r="G753" s="10" t="s">
        <v>305</v>
      </c>
      <c r="H753" t="s">
        <v>59</v>
      </c>
      <c r="I753" s="4">
        <v>190000</v>
      </c>
    </row>
    <row r="754" spans="1:11" x14ac:dyDescent="0.25">
      <c r="H754" t="s">
        <v>306</v>
      </c>
      <c r="I754" s="4">
        <v>38000</v>
      </c>
    </row>
    <row r="755" spans="1:11" x14ac:dyDescent="0.25">
      <c r="H755" t="s">
        <v>33</v>
      </c>
      <c r="I755" s="4">
        <v>20000</v>
      </c>
    </row>
    <row r="756" spans="1:11" x14ac:dyDescent="0.25">
      <c r="H756" t="s">
        <v>307</v>
      </c>
      <c r="I756" s="4">
        <v>15000</v>
      </c>
    </row>
    <row r="758" spans="1:11" x14ac:dyDescent="0.25">
      <c r="H758" t="s">
        <v>17</v>
      </c>
      <c r="I758" s="4">
        <f>SUM(I753:I757)</f>
        <v>263000</v>
      </c>
    </row>
    <row r="760" spans="1:11" x14ac:dyDescent="0.25">
      <c r="A760" s="1" t="s">
        <v>0</v>
      </c>
      <c r="B760" s="1" t="s">
        <v>1</v>
      </c>
      <c r="C760" s="1" t="s">
        <v>2</v>
      </c>
      <c r="D760" s="1" t="s">
        <v>3</v>
      </c>
      <c r="E760" s="1" t="s">
        <v>4</v>
      </c>
      <c r="F760" s="2" t="s">
        <v>5</v>
      </c>
      <c r="G760" s="9" t="s">
        <v>40</v>
      </c>
      <c r="H760" s="1" t="s">
        <v>6</v>
      </c>
      <c r="I760" s="2" t="s">
        <v>7</v>
      </c>
      <c r="J760" s="1" t="s">
        <v>8</v>
      </c>
      <c r="K760" s="1" t="s">
        <v>9</v>
      </c>
    </row>
    <row r="761" spans="1:11" x14ac:dyDescent="0.25">
      <c r="A761" s="3">
        <v>45334</v>
      </c>
      <c r="B761" t="s">
        <v>308</v>
      </c>
      <c r="D761" t="s">
        <v>31</v>
      </c>
      <c r="H761" t="s">
        <v>309</v>
      </c>
      <c r="I761" s="4">
        <v>150000</v>
      </c>
    </row>
    <row r="762" spans="1:11" x14ac:dyDescent="0.25">
      <c r="H762" t="s">
        <v>50</v>
      </c>
      <c r="I762" s="4">
        <v>65000</v>
      </c>
    </row>
    <row r="764" spans="1:11" x14ac:dyDescent="0.25">
      <c r="H764" t="s">
        <v>17</v>
      </c>
      <c r="I764" s="4">
        <f>SUM(I761:I763)</f>
        <v>215000</v>
      </c>
    </row>
    <row r="766" spans="1:11" x14ac:dyDescent="0.25">
      <c r="A766" s="1" t="s">
        <v>0</v>
      </c>
      <c r="B766" s="1" t="s">
        <v>1</v>
      </c>
      <c r="C766" s="1" t="s">
        <v>2</v>
      </c>
      <c r="D766" s="1" t="s">
        <v>3</v>
      </c>
      <c r="E766" s="1" t="s">
        <v>4</v>
      </c>
      <c r="F766" s="2" t="s">
        <v>5</v>
      </c>
      <c r="G766" s="9" t="s">
        <v>40</v>
      </c>
      <c r="H766" s="1" t="s">
        <v>6</v>
      </c>
      <c r="I766" s="2" t="s">
        <v>7</v>
      </c>
      <c r="J766" s="1" t="s">
        <v>8</v>
      </c>
      <c r="K766" s="1" t="s">
        <v>9</v>
      </c>
    </row>
    <row r="767" spans="1:11" x14ac:dyDescent="0.25">
      <c r="A767" s="3">
        <v>45334</v>
      </c>
      <c r="B767" t="s">
        <v>247</v>
      </c>
      <c r="C767" t="s">
        <v>310</v>
      </c>
      <c r="D767" t="s">
        <v>12</v>
      </c>
      <c r="G767" s="10" t="s">
        <v>311</v>
      </c>
      <c r="H767" t="s">
        <v>312</v>
      </c>
    </row>
    <row r="768" spans="1:11" x14ac:dyDescent="0.25">
      <c r="H768" t="s">
        <v>48</v>
      </c>
    </row>
    <row r="769" spans="1:11" x14ac:dyDescent="0.25">
      <c r="H769" t="s">
        <v>21</v>
      </c>
    </row>
    <row r="770" spans="1:11" x14ac:dyDescent="0.25">
      <c r="H770" t="s">
        <v>129</v>
      </c>
    </row>
    <row r="772" spans="1:11" x14ac:dyDescent="0.25">
      <c r="H772" t="s">
        <v>17</v>
      </c>
    </row>
    <row r="774" spans="1:11" x14ac:dyDescent="0.25">
      <c r="A774" s="1" t="s">
        <v>0</v>
      </c>
      <c r="B774" s="1" t="s">
        <v>1</v>
      </c>
      <c r="C774" s="1" t="s">
        <v>2</v>
      </c>
      <c r="D774" s="1" t="s">
        <v>3</v>
      </c>
      <c r="E774" s="1" t="s">
        <v>4</v>
      </c>
      <c r="F774" s="2" t="s">
        <v>5</v>
      </c>
      <c r="G774" s="9" t="s">
        <v>40</v>
      </c>
      <c r="H774" s="1" t="s">
        <v>6</v>
      </c>
      <c r="I774" s="2" t="s">
        <v>7</v>
      </c>
      <c r="J774" s="1" t="s">
        <v>8</v>
      </c>
      <c r="K774" s="1" t="s">
        <v>9</v>
      </c>
    </row>
    <row r="775" spans="1:11" x14ac:dyDescent="0.25">
      <c r="A775" s="3">
        <v>45334</v>
      </c>
      <c r="B775" t="s">
        <v>289</v>
      </c>
      <c r="G775" s="10" t="s">
        <v>290</v>
      </c>
      <c r="H775" t="s">
        <v>291</v>
      </c>
      <c r="I775" s="4">
        <v>150000</v>
      </c>
    </row>
    <row r="776" spans="1:11" x14ac:dyDescent="0.25">
      <c r="H776" t="s">
        <v>292</v>
      </c>
    </row>
    <row r="777" spans="1:11" x14ac:dyDescent="0.25">
      <c r="H777" t="s">
        <v>293</v>
      </c>
      <c r="I777" s="4">
        <v>192000</v>
      </c>
    </row>
    <row r="778" spans="1:11" x14ac:dyDescent="0.25">
      <c r="H778" t="s">
        <v>15</v>
      </c>
      <c r="I778" s="4">
        <v>63000</v>
      </c>
    </row>
    <row r="779" spans="1:11" x14ac:dyDescent="0.25">
      <c r="H779" t="s">
        <v>294</v>
      </c>
      <c r="I779" s="4">
        <v>50000</v>
      </c>
    </row>
    <row r="780" spans="1:11" x14ac:dyDescent="0.25">
      <c r="H780" t="s">
        <v>48</v>
      </c>
      <c r="I780" s="4">
        <v>120000</v>
      </c>
    </row>
    <row r="782" spans="1:11" x14ac:dyDescent="0.25">
      <c r="H782" t="s">
        <v>17</v>
      </c>
      <c r="I782" s="4">
        <f>SUM(I775:I781)</f>
        <v>575000</v>
      </c>
    </row>
    <row r="784" spans="1:11" x14ac:dyDescent="0.25">
      <c r="A784" s="1" t="s">
        <v>0</v>
      </c>
      <c r="B784" s="1" t="s">
        <v>1</v>
      </c>
      <c r="C784" s="1" t="s">
        <v>2</v>
      </c>
      <c r="D784" s="1" t="s">
        <v>3</v>
      </c>
      <c r="E784" s="1" t="s">
        <v>4</v>
      </c>
      <c r="F784" s="2" t="s">
        <v>5</v>
      </c>
      <c r="G784" s="9" t="s">
        <v>40</v>
      </c>
      <c r="H784" s="1" t="s">
        <v>6</v>
      </c>
      <c r="I784" s="2" t="s">
        <v>7</v>
      </c>
      <c r="J784" s="1" t="s">
        <v>8</v>
      </c>
      <c r="K784" s="1" t="s">
        <v>9</v>
      </c>
    </row>
    <row r="785" spans="1:11" x14ac:dyDescent="0.25">
      <c r="A785" s="3">
        <v>45334</v>
      </c>
      <c r="B785" t="s">
        <v>10</v>
      </c>
      <c r="G785" s="10" t="s">
        <v>313</v>
      </c>
      <c r="H785" t="s">
        <v>106</v>
      </c>
      <c r="I785" s="4">
        <v>150000</v>
      </c>
    </row>
    <row r="786" spans="1:11" x14ac:dyDescent="0.25">
      <c r="H786" t="s">
        <v>14</v>
      </c>
      <c r="I786" s="4">
        <v>238000</v>
      </c>
    </row>
    <row r="787" spans="1:11" x14ac:dyDescent="0.25">
      <c r="H787" t="s">
        <v>15</v>
      </c>
      <c r="I787" s="4">
        <v>46000</v>
      </c>
    </row>
    <row r="788" spans="1:11" x14ac:dyDescent="0.25">
      <c r="H788" t="s">
        <v>50</v>
      </c>
      <c r="I788" s="4">
        <v>105000</v>
      </c>
    </row>
    <row r="789" spans="1:11" x14ac:dyDescent="0.25">
      <c r="H789" t="s">
        <v>314</v>
      </c>
      <c r="I789" s="4">
        <v>140000</v>
      </c>
    </row>
    <row r="791" spans="1:11" x14ac:dyDescent="0.25">
      <c r="H791" t="s">
        <v>17</v>
      </c>
      <c r="I791" s="4">
        <f>SUM(I785:I790)</f>
        <v>679000</v>
      </c>
    </row>
    <row r="793" spans="1:11" x14ac:dyDescent="0.25">
      <c r="A793" s="1" t="s">
        <v>0</v>
      </c>
      <c r="B793" s="1" t="s">
        <v>1</v>
      </c>
      <c r="C793" s="1" t="s">
        <v>2</v>
      </c>
      <c r="D793" s="1" t="s">
        <v>3</v>
      </c>
      <c r="E793" s="1" t="s">
        <v>4</v>
      </c>
      <c r="F793" s="2" t="s">
        <v>5</v>
      </c>
      <c r="G793" s="9" t="s">
        <v>40</v>
      </c>
      <c r="H793" s="1" t="s">
        <v>6</v>
      </c>
      <c r="I793" s="2" t="s">
        <v>7</v>
      </c>
      <c r="J793" s="1" t="s">
        <v>8</v>
      </c>
      <c r="K793" s="1" t="s">
        <v>9</v>
      </c>
    </row>
    <row r="794" spans="1:11" x14ac:dyDescent="0.25">
      <c r="A794" s="3">
        <v>45334</v>
      </c>
      <c r="B794" t="s">
        <v>537</v>
      </c>
      <c r="C794" t="s">
        <v>538</v>
      </c>
      <c r="D794" t="s">
        <v>19</v>
      </c>
      <c r="G794" s="10" t="s">
        <v>539</v>
      </c>
      <c r="H794" t="s">
        <v>540</v>
      </c>
    </row>
    <row r="796" spans="1:11" x14ac:dyDescent="0.25">
      <c r="H796" t="s">
        <v>17</v>
      </c>
    </row>
    <row r="798" spans="1:11" x14ac:dyDescent="0.25">
      <c r="A798" s="1" t="s">
        <v>0</v>
      </c>
      <c r="B798" s="1" t="s">
        <v>1</v>
      </c>
      <c r="C798" s="1" t="s">
        <v>2</v>
      </c>
      <c r="D798" s="1" t="s">
        <v>3</v>
      </c>
      <c r="E798" s="1" t="s">
        <v>4</v>
      </c>
      <c r="F798" s="2" t="s">
        <v>5</v>
      </c>
      <c r="G798" s="9" t="s">
        <v>40</v>
      </c>
      <c r="H798" s="1" t="s">
        <v>6</v>
      </c>
      <c r="I798" s="2" t="s">
        <v>7</v>
      </c>
      <c r="J798" s="1" t="s">
        <v>8</v>
      </c>
      <c r="K798" s="1" t="s">
        <v>9</v>
      </c>
    </row>
    <row r="799" spans="1:11" x14ac:dyDescent="0.25">
      <c r="A799" s="3">
        <v>45334</v>
      </c>
      <c r="B799" t="s">
        <v>564</v>
      </c>
      <c r="C799" t="s">
        <v>565</v>
      </c>
      <c r="D799" t="s">
        <v>87</v>
      </c>
      <c r="E799">
        <v>2018</v>
      </c>
      <c r="G799" s="10" t="s">
        <v>566</v>
      </c>
      <c r="H799" t="s">
        <v>479</v>
      </c>
    </row>
    <row r="800" spans="1:11" x14ac:dyDescent="0.25">
      <c r="H800" t="s">
        <v>567</v>
      </c>
    </row>
    <row r="802" spans="1:11" x14ac:dyDescent="0.25">
      <c r="H802" t="s">
        <v>17</v>
      </c>
    </row>
    <row r="804" spans="1:11" x14ac:dyDescent="0.25">
      <c r="A804" s="1" t="s">
        <v>0</v>
      </c>
      <c r="B804" s="1" t="s">
        <v>1</v>
      </c>
      <c r="C804" s="1" t="s">
        <v>2</v>
      </c>
      <c r="D804" s="1" t="s">
        <v>3</v>
      </c>
      <c r="E804" s="1" t="s">
        <v>4</v>
      </c>
      <c r="F804" s="2" t="s">
        <v>5</v>
      </c>
      <c r="G804" s="9" t="s">
        <v>40</v>
      </c>
      <c r="H804" s="1" t="s">
        <v>6</v>
      </c>
      <c r="I804" s="2" t="s">
        <v>7</v>
      </c>
      <c r="J804" s="1" t="s">
        <v>8</v>
      </c>
      <c r="K804" s="1" t="s">
        <v>9</v>
      </c>
    </row>
    <row r="805" spans="1:11" x14ac:dyDescent="0.25">
      <c r="A805" s="3">
        <v>45334</v>
      </c>
      <c r="B805" t="s">
        <v>568</v>
      </c>
      <c r="C805" t="s">
        <v>569</v>
      </c>
      <c r="E805">
        <v>2014</v>
      </c>
      <c r="F805" s="4">
        <v>23880</v>
      </c>
      <c r="G805" s="10" t="s">
        <v>570</v>
      </c>
      <c r="H805" t="s">
        <v>571</v>
      </c>
      <c r="I805" s="4">
        <v>120000</v>
      </c>
    </row>
    <row r="806" spans="1:11" x14ac:dyDescent="0.25">
      <c r="H806" t="s">
        <v>572</v>
      </c>
      <c r="I806" s="4">
        <v>10000</v>
      </c>
    </row>
    <row r="807" spans="1:11" x14ac:dyDescent="0.25">
      <c r="H807" t="s">
        <v>573</v>
      </c>
      <c r="I807" s="4">
        <v>20000</v>
      </c>
    </row>
    <row r="808" spans="1:11" x14ac:dyDescent="0.25">
      <c r="H808" t="s">
        <v>121</v>
      </c>
      <c r="I808" s="4">
        <v>20000</v>
      </c>
    </row>
    <row r="809" spans="1:11" x14ac:dyDescent="0.25">
      <c r="H809" t="s">
        <v>300</v>
      </c>
      <c r="I809" s="4">
        <v>30000</v>
      </c>
    </row>
    <row r="810" spans="1:11" x14ac:dyDescent="0.25">
      <c r="H810" t="s">
        <v>574</v>
      </c>
      <c r="I810" s="4">
        <v>10000</v>
      </c>
    </row>
    <row r="812" spans="1:11" x14ac:dyDescent="0.25">
      <c r="H812" t="s">
        <v>17</v>
      </c>
      <c r="I812" s="4">
        <f>SUM(I805:I811)</f>
        <v>210000</v>
      </c>
    </row>
    <row r="814" spans="1:11" x14ac:dyDescent="0.25">
      <c r="A814" s="1" t="s">
        <v>0</v>
      </c>
      <c r="B814" s="1" t="s">
        <v>1</v>
      </c>
      <c r="C814" s="1" t="s">
        <v>2</v>
      </c>
      <c r="D814" s="1" t="s">
        <v>3</v>
      </c>
      <c r="E814" s="1" t="s">
        <v>4</v>
      </c>
      <c r="F814" s="2" t="s">
        <v>5</v>
      </c>
      <c r="G814" s="9" t="s">
        <v>40</v>
      </c>
      <c r="H814" s="1" t="s">
        <v>6</v>
      </c>
      <c r="I814" s="2" t="s">
        <v>7</v>
      </c>
      <c r="J814" s="1" t="s">
        <v>8</v>
      </c>
      <c r="K814" s="1" t="s">
        <v>9</v>
      </c>
    </row>
    <row r="815" spans="1:11" x14ac:dyDescent="0.25">
      <c r="A815" s="3">
        <v>45335</v>
      </c>
      <c r="B815" t="s">
        <v>10</v>
      </c>
      <c r="C815" t="s">
        <v>315</v>
      </c>
      <c r="D815" t="s">
        <v>26</v>
      </c>
      <c r="E815">
        <v>2024</v>
      </c>
      <c r="F815" s="4">
        <v>857</v>
      </c>
      <c r="G815" s="10" t="s">
        <v>316</v>
      </c>
      <c r="H815" t="s">
        <v>189</v>
      </c>
      <c r="I815" s="4">
        <v>280000</v>
      </c>
    </row>
    <row r="816" spans="1:11" x14ac:dyDescent="0.25">
      <c r="H816" t="s">
        <v>179</v>
      </c>
      <c r="I816" s="4">
        <v>750000</v>
      </c>
    </row>
    <row r="817" spans="1:11" x14ac:dyDescent="0.25">
      <c r="H817" t="s">
        <v>186</v>
      </c>
      <c r="I817" s="4">
        <v>950000</v>
      </c>
    </row>
    <row r="818" spans="1:11" x14ac:dyDescent="0.25">
      <c r="H818" t="s">
        <v>181</v>
      </c>
      <c r="I818" s="4">
        <v>190000</v>
      </c>
    </row>
    <row r="819" spans="1:11" x14ac:dyDescent="0.25">
      <c r="H819" t="s">
        <v>317</v>
      </c>
      <c r="I819" s="4">
        <v>250000</v>
      </c>
    </row>
    <row r="820" spans="1:11" x14ac:dyDescent="0.25">
      <c r="H820" t="s">
        <v>318</v>
      </c>
      <c r="I820" s="4">
        <v>130000</v>
      </c>
    </row>
    <row r="821" spans="1:11" x14ac:dyDescent="0.25">
      <c r="H821" t="s">
        <v>319</v>
      </c>
      <c r="I821" s="4">
        <v>250000</v>
      </c>
    </row>
    <row r="822" spans="1:11" x14ac:dyDescent="0.25">
      <c r="H822" t="s">
        <v>320</v>
      </c>
      <c r="I822" s="4">
        <v>250000</v>
      </c>
    </row>
    <row r="824" spans="1:11" x14ac:dyDescent="0.25">
      <c r="H824" t="s">
        <v>17</v>
      </c>
      <c r="I824" s="4">
        <f>SUM(I815:I823)</f>
        <v>3050000</v>
      </c>
    </row>
    <row r="826" spans="1:11" x14ac:dyDescent="0.25">
      <c r="A826" s="1" t="s">
        <v>0</v>
      </c>
      <c r="B826" s="1" t="s">
        <v>1</v>
      </c>
      <c r="C826" s="1" t="s">
        <v>2</v>
      </c>
      <c r="D826" s="1" t="s">
        <v>3</v>
      </c>
      <c r="E826" s="1" t="s">
        <v>4</v>
      </c>
      <c r="F826" s="2" t="s">
        <v>5</v>
      </c>
      <c r="G826" s="9" t="s">
        <v>40</v>
      </c>
      <c r="H826" s="1" t="s">
        <v>6</v>
      </c>
      <c r="I826" s="2" t="s">
        <v>7</v>
      </c>
      <c r="J826" s="1" t="s">
        <v>8</v>
      </c>
      <c r="K826" s="1" t="s">
        <v>9</v>
      </c>
    </row>
    <row r="827" spans="1:11" x14ac:dyDescent="0.25">
      <c r="A827" s="3">
        <v>45335</v>
      </c>
      <c r="B827" t="s">
        <v>10</v>
      </c>
      <c r="C827" t="s">
        <v>321</v>
      </c>
      <c r="D827" t="s">
        <v>26</v>
      </c>
      <c r="E827">
        <v>2015</v>
      </c>
      <c r="F827" s="4">
        <v>77818</v>
      </c>
      <c r="G827" s="10" t="s">
        <v>322</v>
      </c>
      <c r="H827" t="s">
        <v>59</v>
      </c>
      <c r="I827" s="4">
        <v>290000</v>
      </c>
    </row>
    <row r="828" spans="1:11" x14ac:dyDescent="0.25">
      <c r="H828" t="s">
        <v>61</v>
      </c>
      <c r="I828" s="4">
        <v>140000</v>
      </c>
    </row>
    <row r="829" spans="1:11" x14ac:dyDescent="0.25">
      <c r="H829" t="s">
        <v>323</v>
      </c>
      <c r="I829" s="4">
        <v>160000</v>
      </c>
    </row>
    <row r="830" spans="1:11" x14ac:dyDescent="0.25">
      <c r="H830" t="s">
        <v>324</v>
      </c>
      <c r="I830" s="4">
        <v>160000</v>
      </c>
    </row>
    <row r="831" spans="1:11" x14ac:dyDescent="0.25">
      <c r="H831" t="s">
        <v>325</v>
      </c>
      <c r="I831" s="4">
        <v>550000</v>
      </c>
    </row>
    <row r="832" spans="1:11" x14ac:dyDescent="0.25">
      <c r="H832" t="s">
        <v>326</v>
      </c>
      <c r="I832" s="4">
        <v>200000</v>
      </c>
    </row>
    <row r="833" spans="1:11" x14ac:dyDescent="0.25">
      <c r="H833" t="s">
        <v>327</v>
      </c>
      <c r="I833" s="4">
        <v>90000</v>
      </c>
    </row>
    <row r="834" spans="1:11" x14ac:dyDescent="0.25">
      <c r="H834" t="s">
        <v>50</v>
      </c>
      <c r="I834" s="4">
        <v>105000</v>
      </c>
    </row>
    <row r="835" spans="1:11" x14ac:dyDescent="0.25">
      <c r="H835" t="s">
        <v>27</v>
      </c>
      <c r="I835" s="4">
        <v>140000</v>
      </c>
    </row>
    <row r="837" spans="1:11" x14ac:dyDescent="0.25">
      <c r="H837" t="s">
        <v>17</v>
      </c>
      <c r="I837" s="4">
        <f>SUM(I827:I836)</f>
        <v>1835000</v>
      </c>
    </row>
    <row r="839" spans="1:11" x14ac:dyDescent="0.25">
      <c r="A839" s="1" t="s">
        <v>0</v>
      </c>
      <c r="B839" s="1" t="s">
        <v>1</v>
      </c>
      <c r="C839" s="1" t="s">
        <v>2</v>
      </c>
      <c r="D839" s="1" t="s">
        <v>3</v>
      </c>
      <c r="E839" s="1" t="s">
        <v>4</v>
      </c>
      <c r="F839" s="2" t="s">
        <v>5</v>
      </c>
      <c r="G839" s="9" t="s">
        <v>40</v>
      </c>
      <c r="H839" s="1" t="s">
        <v>6</v>
      </c>
      <c r="I839" s="2" t="s">
        <v>7</v>
      </c>
      <c r="J839" s="1" t="s">
        <v>8</v>
      </c>
      <c r="K839" s="1" t="s">
        <v>9</v>
      </c>
    </row>
    <row r="840" spans="1:11" x14ac:dyDescent="0.25">
      <c r="A840" s="3">
        <v>45336</v>
      </c>
      <c r="B840" t="s">
        <v>541</v>
      </c>
      <c r="C840" t="s">
        <v>217</v>
      </c>
      <c r="D840" t="s">
        <v>26</v>
      </c>
      <c r="G840" s="10" t="s">
        <v>218</v>
      </c>
      <c r="H840" t="s">
        <v>542</v>
      </c>
    </row>
    <row r="842" spans="1:11" x14ac:dyDescent="0.25">
      <c r="H842" t="s">
        <v>17</v>
      </c>
    </row>
    <row r="844" spans="1:11" x14ac:dyDescent="0.25">
      <c r="A844" s="1" t="s">
        <v>0</v>
      </c>
      <c r="B844" s="1" t="s">
        <v>1</v>
      </c>
      <c r="C844" s="1" t="s">
        <v>2</v>
      </c>
      <c r="D844" s="1" t="s">
        <v>3</v>
      </c>
      <c r="E844" s="1" t="s">
        <v>4</v>
      </c>
      <c r="F844" s="2" t="s">
        <v>5</v>
      </c>
      <c r="G844" s="9" t="s">
        <v>40</v>
      </c>
      <c r="H844" s="1" t="s">
        <v>6</v>
      </c>
      <c r="I844" s="2" t="s">
        <v>7</v>
      </c>
      <c r="J844" s="1" t="s">
        <v>8</v>
      </c>
      <c r="K844" s="1" t="s">
        <v>9</v>
      </c>
    </row>
    <row r="845" spans="1:11" x14ac:dyDescent="0.25">
      <c r="A845" s="3">
        <v>45336</v>
      </c>
      <c r="B845" t="s">
        <v>10</v>
      </c>
      <c r="C845" t="s">
        <v>328</v>
      </c>
      <c r="D845" t="s">
        <v>12</v>
      </c>
      <c r="E845">
        <v>2018</v>
      </c>
      <c r="F845" s="4">
        <v>84915</v>
      </c>
      <c r="G845" s="10" t="s">
        <v>329</v>
      </c>
      <c r="H845" t="s">
        <v>59</v>
      </c>
      <c r="I845" s="4">
        <v>290000</v>
      </c>
    </row>
    <row r="846" spans="1:11" x14ac:dyDescent="0.25">
      <c r="H846" t="s">
        <v>50</v>
      </c>
      <c r="I846" s="4">
        <v>105000</v>
      </c>
    </row>
    <row r="847" spans="1:11" x14ac:dyDescent="0.25">
      <c r="H847" t="s">
        <v>14</v>
      </c>
      <c r="I847" s="4">
        <v>208000</v>
      </c>
    </row>
    <row r="848" spans="1:11" x14ac:dyDescent="0.25">
      <c r="H848" t="s">
        <v>15</v>
      </c>
      <c r="I848" s="4">
        <v>46000</v>
      </c>
    </row>
    <row r="849" spans="1:11" x14ac:dyDescent="0.25">
      <c r="H849" t="s">
        <v>330</v>
      </c>
      <c r="I849" s="4">
        <v>140000</v>
      </c>
    </row>
    <row r="850" spans="1:11" x14ac:dyDescent="0.25">
      <c r="H850" t="s">
        <v>331</v>
      </c>
      <c r="I850" s="4">
        <v>120000</v>
      </c>
    </row>
    <row r="851" spans="1:11" x14ac:dyDescent="0.25">
      <c r="H851" t="s">
        <v>33</v>
      </c>
      <c r="I851" s="4">
        <v>20000</v>
      </c>
    </row>
    <row r="852" spans="1:11" x14ac:dyDescent="0.25">
      <c r="H852" t="s">
        <v>287</v>
      </c>
      <c r="I852" s="4">
        <v>10000</v>
      </c>
    </row>
    <row r="854" spans="1:11" x14ac:dyDescent="0.25">
      <c r="H854" t="s">
        <v>17</v>
      </c>
      <c r="I854" s="4">
        <f>SUM(I845:I853)</f>
        <v>939000</v>
      </c>
    </row>
    <row r="856" spans="1:11" x14ac:dyDescent="0.25">
      <c r="A856" s="1" t="s">
        <v>0</v>
      </c>
      <c r="B856" s="1" t="s">
        <v>1</v>
      </c>
      <c r="C856" s="1" t="s">
        <v>2</v>
      </c>
      <c r="D856" s="1" t="s">
        <v>3</v>
      </c>
      <c r="E856" s="1" t="s">
        <v>4</v>
      </c>
      <c r="F856" s="2" t="s">
        <v>5</v>
      </c>
      <c r="G856" s="9" t="s">
        <v>40</v>
      </c>
      <c r="H856" s="1" t="s">
        <v>6</v>
      </c>
      <c r="I856" s="2" t="s">
        <v>7</v>
      </c>
      <c r="J856" s="1" t="s">
        <v>8</v>
      </c>
      <c r="K856" s="1" t="s">
        <v>9</v>
      </c>
    </row>
    <row r="857" spans="1:11" x14ac:dyDescent="0.25">
      <c r="A857" s="3">
        <v>45336</v>
      </c>
      <c r="B857" t="s">
        <v>71</v>
      </c>
      <c r="C857" t="s">
        <v>575</v>
      </c>
      <c r="E857">
        <v>2015</v>
      </c>
      <c r="G857" s="10" t="s">
        <v>576</v>
      </c>
      <c r="H857" t="s">
        <v>577</v>
      </c>
      <c r="I857" s="4">
        <v>120000</v>
      </c>
    </row>
    <row r="858" spans="1:11" x14ac:dyDescent="0.25">
      <c r="H858" t="s">
        <v>578</v>
      </c>
      <c r="I858" s="4">
        <v>50000</v>
      </c>
    </row>
    <row r="859" spans="1:11" x14ac:dyDescent="0.25">
      <c r="H859" t="s">
        <v>579</v>
      </c>
      <c r="I859" s="4">
        <v>10000</v>
      </c>
    </row>
    <row r="860" spans="1:11" x14ac:dyDescent="0.25">
      <c r="H860" t="s">
        <v>14</v>
      </c>
      <c r="I860" s="4">
        <v>186000</v>
      </c>
    </row>
    <row r="861" spans="1:11" x14ac:dyDescent="0.25">
      <c r="H861" t="s">
        <v>580</v>
      </c>
      <c r="I861" s="4">
        <v>160000</v>
      </c>
    </row>
    <row r="862" spans="1:11" x14ac:dyDescent="0.25">
      <c r="H862" t="s">
        <v>581</v>
      </c>
      <c r="I862" s="4">
        <v>15000</v>
      </c>
    </row>
    <row r="863" spans="1:11" x14ac:dyDescent="0.25">
      <c r="H863" t="s">
        <v>235</v>
      </c>
      <c r="I863" s="4">
        <v>60000</v>
      </c>
    </row>
    <row r="864" spans="1:11" x14ac:dyDescent="0.25">
      <c r="H864" t="s">
        <v>582</v>
      </c>
      <c r="I864" s="4">
        <v>150000</v>
      </c>
    </row>
    <row r="865" spans="1:11" x14ac:dyDescent="0.25">
      <c r="H865" t="s">
        <v>15</v>
      </c>
      <c r="I865" s="4">
        <v>35000</v>
      </c>
    </row>
    <row r="866" spans="1:11" x14ac:dyDescent="0.25">
      <c r="H866" t="s">
        <v>583</v>
      </c>
      <c r="I866" s="4">
        <v>30000</v>
      </c>
    </row>
    <row r="868" spans="1:11" x14ac:dyDescent="0.25">
      <c r="H868" t="s">
        <v>17</v>
      </c>
      <c r="I868" s="4">
        <f>SUM(I857:I867)</f>
        <v>816000</v>
      </c>
    </row>
    <row r="870" spans="1:11" x14ac:dyDescent="0.25">
      <c r="A870" s="1" t="s">
        <v>0</v>
      </c>
      <c r="B870" s="1" t="s">
        <v>1</v>
      </c>
      <c r="C870" s="1" t="s">
        <v>2</v>
      </c>
      <c r="D870" s="1" t="s">
        <v>3</v>
      </c>
      <c r="E870" s="1" t="s">
        <v>4</v>
      </c>
      <c r="F870" s="2" t="s">
        <v>5</v>
      </c>
      <c r="G870" s="9" t="s">
        <v>40</v>
      </c>
      <c r="H870" s="1" t="s">
        <v>6</v>
      </c>
      <c r="I870" s="2" t="s">
        <v>7</v>
      </c>
      <c r="J870" s="1" t="s">
        <v>8</v>
      </c>
      <c r="K870" s="1" t="s">
        <v>9</v>
      </c>
    </row>
    <row r="871" spans="1:11" x14ac:dyDescent="0.25">
      <c r="A871" s="3">
        <v>45337</v>
      </c>
      <c r="B871" t="s">
        <v>10</v>
      </c>
      <c r="C871" t="s">
        <v>332</v>
      </c>
      <c r="F871" s="4">
        <v>92440</v>
      </c>
      <c r="G871" s="10" t="s">
        <v>333</v>
      </c>
      <c r="H871" t="s">
        <v>14</v>
      </c>
      <c r="I871" s="4">
        <v>182000</v>
      </c>
    </row>
    <row r="872" spans="1:11" x14ac:dyDescent="0.25">
      <c r="H872" t="s">
        <v>15</v>
      </c>
      <c r="I872" s="4">
        <v>46000</v>
      </c>
    </row>
    <row r="873" spans="1:11" x14ac:dyDescent="0.25">
      <c r="H873" t="s">
        <v>48</v>
      </c>
      <c r="I873" s="4">
        <v>160000</v>
      </c>
    </row>
    <row r="874" spans="1:11" x14ac:dyDescent="0.25">
      <c r="H874" t="s">
        <v>116</v>
      </c>
      <c r="I874" s="4">
        <v>20000</v>
      </c>
    </row>
    <row r="875" spans="1:11" x14ac:dyDescent="0.25">
      <c r="H875" t="s">
        <v>108</v>
      </c>
      <c r="I875" s="4">
        <v>30000</v>
      </c>
    </row>
    <row r="877" spans="1:11" x14ac:dyDescent="0.25">
      <c r="H877" t="s">
        <v>17</v>
      </c>
      <c r="I877" s="4">
        <f>SUM(I871:I876)</f>
        <v>438000</v>
      </c>
    </row>
    <row r="879" spans="1:11" x14ac:dyDescent="0.25">
      <c r="A879" s="1" t="s">
        <v>0</v>
      </c>
      <c r="B879" s="1" t="s">
        <v>1</v>
      </c>
      <c r="C879" s="1" t="s">
        <v>2</v>
      </c>
      <c r="D879" s="1" t="s">
        <v>3</v>
      </c>
      <c r="E879" s="1" t="s">
        <v>4</v>
      </c>
      <c r="F879" s="2" t="s">
        <v>5</v>
      </c>
      <c r="G879" s="9" t="s">
        <v>40</v>
      </c>
      <c r="H879" s="1" t="s">
        <v>6</v>
      </c>
      <c r="I879" s="2" t="s">
        <v>7</v>
      </c>
      <c r="J879" s="1" t="s">
        <v>8</v>
      </c>
      <c r="K879" s="1" t="s">
        <v>9</v>
      </c>
    </row>
    <row r="880" spans="1:11" x14ac:dyDescent="0.25">
      <c r="A880" s="3">
        <v>45337</v>
      </c>
      <c r="B880" t="s">
        <v>543</v>
      </c>
      <c r="D880" t="s">
        <v>544</v>
      </c>
      <c r="E880">
        <v>2011</v>
      </c>
      <c r="F880" s="4">
        <v>109699</v>
      </c>
      <c r="G880" s="10" t="s">
        <v>545</v>
      </c>
      <c r="H880" t="s">
        <v>546</v>
      </c>
    </row>
    <row r="882" spans="1:11" x14ac:dyDescent="0.25">
      <c r="H882" t="s">
        <v>17</v>
      </c>
    </row>
    <row r="884" spans="1:11" x14ac:dyDescent="0.25">
      <c r="A884" s="1" t="s">
        <v>0</v>
      </c>
      <c r="B884" s="1" t="s">
        <v>1</v>
      </c>
      <c r="C884" s="1" t="s">
        <v>2</v>
      </c>
      <c r="D884" s="1" t="s">
        <v>3</v>
      </c>
      <c r="E884" s="1" t="s">
        <v>4</v>
      </c>
      <c r="F884" s="2" t="s">
        <v>5</v>
      </c>
      <c r="G884" s="9" t="s">
        <v>40</v>
      </c>
      <c r="H884" s="1" t="s">
        <v>6</v>
      </c>
      <c r="I884" s="2" t="s">
        <v>7</v>
      </c>
      <c r="J884" s="1" t="s">
        <v>8</v>
      </c>
      <c r="K884" s="1" t="s">
        <v>9</v>
      </c>
    </row>
    <row r="885" spans="1:11" x14ac:dyDescent="0.25">
      <c r="A885" s="3">
        <v>45337</v>
      </c>
      <c r="B885" t="s">
        <v>210</v>
      </c>
      <c r="C885" t="s">
        <v>334</v>
      </c>
      <c r="D885" t="s">
        <v>19</v>
      </c>
      <c r="F885" s="4">
        <v>114959</v>
      </c>
      <c r="G885" s="10" t="s">
        <v>335</v>
      </c>
      <c r="H885" t="s">
        <v>48</v>
      </c>
    </row>
    <row r="887" spans="1:11" x14ac:dyDescent="0.25">
      <c r="H887" t="s">
        <v>17</v>
      </c>
      <c r="I887" s="4">
        <v>50000</v>
      </c>
    </row>
    <row r="889" spans="1:11" x14ac:dyDescent="0.25">
      <c r="A889" s="1" t="s">
        <v>0</v>
      </c>
      <c r="B889" s="1" t="s">
        <v>1</v>
      </c>
      <c r="C889" s="1" t="s">
        <v>2</v>
      </c>
      <c r="D889" s="1" t="s">
        <v>3</v>
      </c>
      <c r="E889" s="1" t="s">
        <v>4</v>
      </c>
      <c r="F889" s="2" t="s">
        <v>5</v>
      </c>
      <c r="G889" s="9" t="s">
        <v>40</v>
      </c>
      <c r="H889" s="1" t="s">
        <v>6</v>
      </c>
      <c r="I889" s="2" t="s">
        <v>7</v>
      </c>
      <c r="J889" s="1" t="s">
        <v>8</v>
      </c>
      <c r="K889" s="1" t="s">
        <v>9</v>
      </c>
    </row>
    <row r="890" spans="1:11" x14ac:dyDescent="0.25">
      <c r="A890" s="3">
        <v>45338</v>
      </c>
      <c r="B890" t="s">
        <v>336</v>
      </c>
      <c r="C890" t="s">
        <v>337</v>
      </c>
      <c r="D890" t="s">
        <v>31</v>
      </c>
      <c r="E890">
        <v>2017</v>
      </c>
      <c r="F890" s="4">
        <v>88000</v>
      </c>
      <c r="G890" s="10" t="s">
        <v>338</v>
      </c>
      <c r="H890" t="s">
        <v>339</v>
      </c>
      <c r="I890" s="4">
        <v>205000</v>
      </c>
    </row>
    <row r="891" spans="1:11" x14ac:dyDescent="0.25">
      <c r="H891" t="s">
        <v>254</v>
      </c>
      <c r="I891" s="4">
        <v>272000</v>
      </c>
    </row>
    <row r="892" spans="1:11" x14ac:dyDescent="0.25">
      <c r="H892" t="s">
        <v>16</v>
      </c>
      <c r="I892" s="4">
        <v>350000</v>
      </c>
    </row>
    <row r="893" spans="1:11" x14ac:dyDescent="0.25">
      <c r="H893" t="s">
        <v>258</v>
      </c>
      <c r="I893" s="4">
        <v>20000</v>
      </c>
    </row>
    <row r="894" spans="1:11" x14ac:dyDescent="0.25">
      <c r="H894" t="s">
        <v>340</v>
      </c>
      <c r="I894" s="4">
        <v>38000</v>
      </c>
    </row>
    <row r="895" spans="1:11" x14ac:dyDescent="0.25">
      <c r="H895" t="s">
        <v>154</v>
      </c>
      <c r="I895" s="4">
        <v>18000</v>
      </c>
    </row>
    <row r="896" spans="1:11" x14ac:dyDescent="0.25">
      <c r="H896" t="s">
        <v>341</v>
      </c>
      <c r="I896" s="4">
        <v>125000</v>
      </c>
    </row>
    <row r="897" spans="1:11" x14ac:dyDescent="0.25">
      <c r="H897" t="s">
        <v>155</v>
      </c>
      <c r="I897" s="4">
        <v>45000</v>
      </c>
    </row>
    <row r="898" spans="1:11" x14ac:dyDescent="0.25">
      <c r="H898" t="s">
        <v>342</v>
      </c>
      <c r="I898" s="4">
        <v>25000</v>
      </c>
    </row>
    <row r="899" spans="1:11" x14ac:dyDescent="0.25">
      <c r="H899" t="s">
        <v>33</v>
      </c>
      <c r="I899" s="4">
        <v>20000</v>
      </c>
    </row>
    <row r="901" spans="1:11" x14ac:dyDescent="0.25">
      <c r="H901" t="s">
        <v>17</v>
      </c>
      <c r="I901" s="4">
        <f>SUM(I890:I900)</f>
        <v>1118000</v>
      </c>
    </row>
    <row r="903" spans="1:11" x14ac:dyDescent="0.25">
      <c r="A903" s="1" t="s">
        <v>0</v>
      </c>
      <c r="B903" s="1" t="s">
        <v>1</v>
      </c>
      <c r="C903" s="1" t="s">
        <v>2</v>
      </c>
      <c r="D903" s="1" t="s">
        <v>3</v>
      </c>
      <c r="E903" s="1" t="s">
        <v>4</v>
      </c>
      <c r="F903" s="2" t="s">
        <v>5</v>
      </c>
      <c r="G903" s="9" t="s">
        <v>40</v>
      </c>
      <c r="H903" s="1" t="s">
        <v>6</v>
      </c>
      <c r="I903" s="2" t="s">
        <v>7</v>
      </c>
      <c r="J903" s="1" t="s">
        <v>8</v>
      </c>
      <c r="K903" s="1" t="s">
        <v>9</v>
      </c>
    </row>
    <row r="904" spans="1:11" x14ac:dyDescent="0.25">
      <c r="A904" s="3">
        <v>45338</v>
      </c>
      <c r="B904" t="s">
        <v>10</v>
      </c>
      <c r="C904" t="s">
        <v>394</v>
      </c>
      <c r="D904" t="s">
        <v>26</v>
      </c>
      <c r="F904" s="4">
        <v>123064</v>
      </c>
      <c r="G904" s="10" t="s">
        <v>395</v>
      </c>
      <c r="H904" t="s">
        <v>14</v>
      </c>
      <c r="I904" s="4">
        <v>160000</v>
      </c>
    </row>
    <row r="905" spans="1:11" x14ac:dyDescent="0.25">
      <c r="H905" t="s">
        <v>396</v>
      </c>
      <c r="I905" s="4">
        <v>90000</v>
      </c>
    </row>
    <row r="906" spans="1:11" x14ac:dyDescent="0.25">
      <c r="H906" t="s">
        <v>15</v>
      </c>
      <c r="I906" s="4">
        <v>46000</v>
      </c>
    </row>
    <row r="907" spans="1:11" x14ac:dyDescent="0.25">
      <c r="H907" t="s">
        <v>397</v>
      </c>
      <c r="I907" s="4">
        <v>20000</v>
      </c>
    </row>
    <row r="908" spans="1:11" x14ac:dyDescent="0.25">
      <c r="H908" t="s">
        <v>16</v>
      </c>
    </row>
    <row r="910" spans="1:11" x14ac:dyDescent="0.25">
      <c r="H910" t="s">
        <v>17</v>
      </c>
      <c r="I910" s="4">
        <f>SUM(I904:I909)</f>
        <v>316000</v>
      </c>
    </row>
    <row r="912" spans="1:11" x14ac:dyDescent="0.25">
      <c r="A912" s="1" t="s">
        <v>0</v>
      </c>
      <c r="B912" s="1" t="s">
        <v>1</v>
      </c>
      <c r="C912" s="1" t="s">
        <v>2</v>
      </c>
      <c r="D912" s="1" t="s">
        <v>3</v>
      </c>
      <c r="E912" s="1" t="s">
        <v>4</v>
      </c>
      <c r="F912" s="2" t="s">
        <v>5</v>
      </c>
      <c r="G912" s="9" t="s">
        <v>40</v>
      </c>
      <c r="H912" s="1" t="s">
        <v>6</v>
      </c>
      <c r="I912" s="2" t="s">
        <v>7</v>
      </c>
      <c r="J912" s="1" t="s">
        <v>8</v>
      </c>
      <c r="K912" s="1" t="s">
        <v>9</v>
      </c>
    </row>
    <row r="913" spans="1:11" x14ac:dyDescent="0.25">
      <c r="A913" s="3">
        <v>45338</v>
      </c>
      <c r="B913" t="s">
        <v>584</v>
      </c>
      <c r="C913" t="s">
        <v>585</v>
      </c>
      <c r="D913" t="s">
        <v>87</v>
      </c>
      <c r="G913" s="10" t="s">
        <v>586</v>
      </c>
      <c r="H913" t="s">
        <v>587</v>
      </c>
    </row>
    <row r="914" spans="1:11" x14ac:dyDescent="0.25">
      <c r="H914" t="s">
        <v>14</v>
      </c>
    </row>
    <row r="916" spans="1:11" x14ac:dyDescent="0.25">
      <c r="H916" t="s">
        <v>17</v>
      </c>
    </row>
    <row r="918" spans="1:11" x14ac:dyDescent="0.25">
      <c r="A918" s="1" t="s">
        <v>0</v>
      </c>
      <c r="B918" s="1" t="s">
        <v>1</v>
      </c>
      <c r="C918" s="1" t="s">
        <v>2</v>
      </c>
      <c r="D918" s="1" t="s">
        <v>3</v>
      </c>
      <c r="E918" s="1" t="s">
        <v>4</v>
      </c>
      <c r="F918" s="2" t="s">
        <v>5</v>
      </c>
      <c r="G918" s="9" t="s">
        <v>40</v>
      </c>
      <c r="H918" s="1" t="s">
        <v>6</v>
      </c>
      <c r="I918" s="2" t="s">
        <v>7</v>
      </c>
      <c r="J918" s="1" t="s">
        <v>8</v>
      </c>
      <c r="K918" s="1" t="s">
        <v>9</v>
      </c>
    </row>
    <row r="919" spans="1:11" x14ac:dyDescent="0.25">
      <c r="A919" s="3">
        <v>45339</v>
      </c>
      <c r="B919" t="s">
        <v>588</v>
      </c>
      <c r="C919" t="s">
        <v>589</v>
      </c>
      <c r="D919" t="s">
        <v>19</v>
      </c>
      <c r="E919">
        <v>2016</v>
      </c>
      <c r="F919" s="4">
        <v>51000</v>
      </c>
      <c r="G919" s="10" t="s">
        <v>590</v>
      </c>
      <c r="H919" t="s">
        <v>591</v>
      </c>
    </row>
    <row r="920" spans="1:11" x14ac:dyDescent="0.25">
      <c r="H920" t="s">
        <v>592</v>
      </c>
    </row>
    <row r="921" spans="1:11" x14ac:dyDescent="0.25">
      <c r="H921" t="s">
        <v>593</v>
      </c>
    </row>
    <row r="922" spans="1:11" x14ac:dyDescent="0.25">
      <c r="H922" t="s">
        <v>594</v>
      </c>
    </row>
    <row r="924" spans="1:11" x14ac:dyDescent="0.25">
      <c r="H924" t="s">
        <v>17</v>
      </c>
    </row>
    <row r="926" spans="1:11" x14ac:dyDescent="0.25">
      <c r="A926" s="1" t="s">
        <v>0</v>
      </c>
      <c r="B926" s="1" t="s">
        <v>1</v>
      </c>
      <c r="C926" s="1" t="s">
        <v>2</v>
      </c>
      <c r="D926" s="1" t="s">
        <v>3</v>
      </c>
      <c r="E926" s="1" t="s">
        <v>4</v>
      </c>
      <c r="F926" s="2" t="s">
        <v>5</v>
      </c>
      <c r="G926" s="9" t="s">
        <v>40</v>
      </c>
      <c r="H926" s="1" t="s">
        <v>6</v>
      </c>
      <c r="I926" s="2" t="s">
        <v>7</v>
      </c>
      <c r="J926" s="1" t="s">
        <v>8</v>
      </c>
      <c r="K926" s="1" t="s">
        <v>9</v>
      </c>
    </row>
    <row r="927" spans="1:11" x14ac:dyDescent="0.25">
      <c r="A927" s="3">
        <v>45339</v>
      </c>
      <c r="B927" t="s">
        <v>398</v>
      </c>
      <c r="E927">
        <v>2019</v>
      </c>
      <c r="F927" s="4">
        <v>36610</v>
      </c>
      <c r="G927" s="10" t="s">
        <v>399</v>
      </c>
      <c r="H927" t="s">
        <v>106</v>
      </c>
      <c r="I927" s="4">
        <v>150000</v>
      </c>
    </row>
    <row r="928" spans="1:11" x14ac:dyDescent="0.25">
      <c r="H928" t="s">
        <v>400</v>
      </c>
      <c r="I928" s="4">
        <v>55000</v>
      </c>
    </row>
    <row r="930" spans="1:11" x14ac:dyDescent="0.25">
      <c r="H930" t="s">
        <v>17</v>
      </c>
      <c r="I930" s="4">
        <f>SUM(I927:I929)</f>
        <v>205000</v>
      </c>
    </row>
    <row r="932" spans="1:11" x14ac:dyDescent="0.25">
      <c r="A932" s="1" t="s">
        <v>0</v>
      </c>
      <c r="B932" s="1" t="s">
        <v>1</v>
      </c>
      <c r="C932" s="1" t="s">
        <v>2</v>
      </c>
      <c r="D932" s="1" t="s">
        <v>3</v>
      </c>
      <c r="E932" s="1" t="s">
        <v>4</v>
      </c>
      <c r="F932" s="2" t="s">
        <v>5</v>
      </c>
      <c r="G932" s="9" t="s">
        <v>40</v>
      </c>
      <c r="H932" s="1" t="s">
        <v>6</v>
      </c>
      <c r="I932" s="2" t="s">
        <v>7</v>
      </c>
      <c r="J932" s="1" t="s">
        <v>8</v>
      </c>
      <c r="K932" s="1" t="s">
        <v>9</v>
      </c>
    </row>
    <row r="933" spans="1:11" x14ac:dyDescent="0.25">
      <c r="A933" s="3">
        <v>45339</v>
      </c>
      <c r="B933" t="s">
        <v>289</v>
      </c>
      <c r="C933" t="s">
        <v>401</v>
      </c>
      <c r="E933">
        <v>2016</v>
      </c>
      <c r="F933" s="4">
        <v>38800</v>
      </c>
      <c r="H933" t="s">
        <v>180</v>
      </c>
      <c r="I933" s="4">
        <v>280000</v>
      </c>
    </row>
    <row r="934" spans="1:11" x14ac:dyDescent="0.25">
      <c r="H934" t="s">
        <v>14</v>
      </c>
      <c r="I934" s="4">
        <v>250000</v>
      </c>
    </row>
    <row r="935" spans="1:11" x14ac:dyDescent="0.25">
      <c r="H935" t="s">
        <v>15</v>
      </c>
      <c r="I935" s="4">
        <v>65000</v>
      </c>
    </row>
    <row r="937" spans="1:11" x14ac:dyDescent="0.25">
      <c r="H937" t="s">
        <v>17</v>
      </c>
      <c r="I937" s="4">
        <f>SUM(I933:I936)</f>
        <v>595000</v>
      </c>
    </row>
    <row r="939" spans="1:11" x14ac:dyDescent="0.25">
      <c r="A939" s="1" t="s">
        <v>0</v>
      </c>
      <c r="B939" s="1" t="s">
        <v>1</v>
      </c>
      <c r="C939" s="1" t="s">
        <v>2</v>
      </c>
      <c r="D939" s="1" t="s">
        <v>3</v>
      </c>
      <c r="E939" s="1" t="s">
        <v>4</v>
      </c>
      <c r="F939" s="2" t="s">
        <v>5</v>
      </c>
      <c r="G939" s="9" t="s">
        <v>40</v>
      </c>
      <c r="H939" s="1" t="s">
        <v>6</v>
      </c>
      <c r="I939" s="2" t="s">
        <v>7</v>
      </c>
      <c r="J939" s="1" t="s">
        <v>8</v>
      </c>
      <c r="K939" s="1" t="s">
        <v>9</v>
      </c>
    </row>
    <row r="940" spans="1:11" x14ac:dyDescent="0.25">
      <c r="A940" s="3">
        <v>45339</v>
      </c>
      <c r="B940" t="s">
        <v>402</v>
      </c>
      <c r="C940" t="s">
        <v>403</v>
      </c>
      <c r="E940">
        <v>2022</v>
      </c>
      <c r="F940" s="4">
        <v>20764</v>
      </c>
      <c r="G940" s="10" t="s">
        <v>404</v>
      </c>
      <c r="H940" t="s">
        <v>37</v>
      </c>
      <c r="I940" s="4">
        <v>250000</v>
      </c>
    </row>
    <row r="941" spans="1:11" x14ac:dyDescent="0.25">
      <c r="H941" t="s">
        <v>33</v>
      </c>
      <c r="I941" s="4">
        <v>20000</v>
      </c>
    </row>
    <row r="942" spans="1:11" x14ac:dyDescent="0.25">
      <c r="H942" t="s">
        <v>14</v>
      </c>
      <c r="I942" s="4">
        <v>63000</v>
      </c>
    </row>
    <row r="943" spans="1:11" x14ac:dyDescent="0.25">
      <c r="H943" t="s">
        <v>405</v>
      </c>
      <c r="I943" s="4">
        <v>50000</v>
      </c>
    </row>
    <row r="945" spans="1:11" x14ac:dyDescent="0.25">
      <c r="H945" t="s">
        <v>17</v>
      </c>
      <c r="I945" s="4">
        <f>SUM(I940:I944)</f>
        <v>383000</v>
      </c>
    </row>
    <row r="947" spans="1:11" x14ac:dyDescent="0.25">
      <c r="A947" s="1" t="s">
        <v>0</v>
      </c>
      <c r="B947" s="1" t="s">
        <v>1</v>
      </c>
      <c r="C947" s="1" t="s">
        <v>2</v>
      </c>
      <c r="D947" s="1" t="s">
        <v>3</v>
      </c>
      <c r="E947" s="1" t="s">
        <v>4</v>
      </c>
      <c r="F947" s="2" t="s">
        <v>5</v>
      </c>
      <c r="G947" s="9" t="s">
        <v>40</v>
      </c>
      <c r="H947" s="1" t="s">
        <v>6</v>
      </c>
      <c r="I947" s="2" t="s">
        <v>7</v>
      </c>
      <c r="J947" s="1" t="s">
        <v>8</v>
      </c>
      <c r="K947" s="1" t="s">
        <v>9</v>
      </c>
    </row>
    <row r="948" spans="1:11" x14ac:dyDescent="0.25">
      <c r="A948" s="3">
        <v>45340</v>
      </c>
      <c r="B948" t="s">
        <v>343</v>
      </c>
      <c r="C948" t="s">
        <v>344</v>
      </c>
      <c r="D948" t="s">
        <v>19</v>
      </c>
      <c r="E948">
        <v>2009</v>
      </c>
      <c r="G948" s="10" t="s">
        <v>345</v>
      </c>
      <c r="H948" t="s">
        <v>156</v>
      </c>
      <c r="I948" s="4">
        <v>180000</v>
      </c>
    </row>
    <row r="949" spans="1:11" x14ac:dyDescent="0.25">
      <c r="H949" t="s">
        <v>346</v>
      </c>
      <c r="I949" s="4">
        <v>180000</v>
      </c>
    </row>
    <row r="950" spans="1:11" x14ac:dyDescent="0.25">
      <c r="H950" t="s">
        <v>347</v>
      </c>
      <c r="I950" s="4">
        <v>35000</v>
      </c>
    </row>
    <row r="951" spans="1:11" x14ac:dyDescent="0.25">
      <c r="H951" t="s">
        <v>348</v>
      </c>
      <c r="I951" s="4">
        <v>18000</v>
      </c>
    </row>
    <row r="952" spans="1:11" x14ac:dyDescent="0.25">
      <c r="H952" t="s">
        <v>353</v>
      </c>
      <c r="I952" s="4">
        <v>30000</v>
      </c>
    </row>
    <row r="953" spans="1:11" x14ac:dyDescent="0.25">
      <c r="H953" t="s">
        <v>349</v>
      </c>
      <c r="I953" s="4">
        <v>25000</v>
      </c>
    </row>
    <row r="954" spans="1:11" x14ac:dyDescent="0.25">
      <c r="H954" t="s">
        <v>350</v>
      </c>
      <c r="I954" s="4">
        <v>65000</v>
      </c>
    </row>
    <row r="955" spans="1:11" x14ac:dyDescent="0.25">
      <c r="H955" t="s">
        <v>351</v>
      </c>
      <c r="I955" s="4">
        <v>160000</v>
      </c>
    </row>
    <row r="956" spans="1:11" x14ac:dyDescent="0.25">
      <c r="H956" t="s">
        <v>14</v>
      </c>
      <c r="I956" s="4">
        <v>38000</v>
      </c>
    </row>
    <row r="957" spans="1:11" x14ac:dyDescent="0.25">
      <c r="H957" t="s">
        <v>352</v>
      </c>
      <c r="I957" s="4">
        <v>120000</v>
      </c>
    </row>
    <row r="959" spans="1:11" x14ac:dyDescent="0.25">
      <c r="H959" t="s">
        <v>17</v>
      </c>
      <c r="I959" s="4">
        <f>SUM(I948:I958)</f>
        <v>851000</v>
      </c>
    </row>
    <row r="961" spans="1:11" x14ac:dyDescent="0.25">
      <c r="A961" s="1" t="s">
        <v>0</v>
      </c>
      <c r="B961" s="1" t="s">
        <v>1</v>
      </c>
      <c r="C961" s="1" t="s">
        <v>2</v>
      </c>
      <c r="D961" s="1" t="s">
        <v>3</v>
      </c>
      <c r="E961" s="1" t="s">
        <v>4</v>
      </c>
      <c r="F961" s="2" t="s">
        <v>5</v>
      </c>
      <c r="G961" s="9" t="s">
        <v>40</v>
      </c>
      <c r="H961" s="1" t="s">
        <v>6</v>
      </c>
      <c r="I961" s="2" t="s">
        <v>7</v>
      </c>
      <c r="J961" s="1" t="s">
        <v>8</v>
      </c>
      <c r="K961" s="1" t="s">
        <v>9</v>
      </c>
    </row>
    <row r="962" spans="1:11" x14ac:dyDescent="0.25">
      <c r="A962" s="3">
        <v>45341</v>
      </c>
      <c r="B962" t="s">
        <v>10</v>
      </c>
      <c r="G962" s="10" t="s">
        <v>406</v>
      </c>
      <c r="H962" t="s">
        <v>407</v>
      </c>
      <c r="I962" s="4">
        <v>290000</v>
      </c>
    </row>
    <row r="963" spans="1:11" x14ac:dyDescent="0.25">
      <c r="H963" t="s">
        <v>20</v>
      </c>
      <c r="I963" s="4">
        <v>140000</v>
      </c>
    </row>
    <row r="964" spans="1:11" x14ac:dyDescent="0.25">
      <c r="H964" t="s">
        <v>408</v>
      </c>
      <c r="I964" s="4">
        <v>40000</v>
      </c>
    </row>
    <row r="965" spans="1:11" x14ac:dyDescent="0.25">
      <c r="H965" t="s">
        <v>14</v>
      </c>
      <c r="I965" s="4">
        <v>192000</v>
      </c>
    </row>
    <row r="966" spans="1:11" x14ac:dyDescent="0.25">
      <c r="H966" t="s">
        <v>15</v>
      </c>
      <c r="I966" s="4">
        <v>46000</v>
      </c>
    </row>
    <row r="968" spans="1:11" x14ac:dyDescent="0.25">
      <c r="H968" t="s">
        <v>17</v>
      </c>
      <c r="I968" s="4">
        <f>SUM(I962:I967)</f>
        <v>708000</v>
      </c>
    </row>
    <row r="970" spans="1:11" x14ac:dyDescent="0.25">
      <c r="A970" s="1" t="s">
        <v>0</v>
      </c>
      <c r="B970" s="1" t="s">
        <v>1</v>
      </c>
      <c r="C970" s="1" t="s">
        <v>2</v>
      </c>
      <c r="D970" s="1" t="s">
        <v>3</v>
      </c>
      <c r="E970" s="1" t="s">
        <v>4</v>
      </c>
      <c r="F970" s="2" t="s">
        <v>5</v>
      </c>
      <c r="G970" s="9" t="s">
        <v>40</v>
      </c>
      <c r="H970" s="1" t="s">
        <v>6</v>
      </c>
      <c r="I970" s="2" t="s">
        <v>7</v>
      </c>
      <c r="J970" s="1" t="s">
        <v>8</v>
      </c>
      <c r="K970" s="1" t="s">
        <v>9</v>
      </c>
    </row>
    <row r="971" spans="1:11" x14ac:dyDescent="0.25">
      <c r="A971" s="3">
        <v>45341</v>
      </c>
      <c r="B971" t="s">
        <v>409</v>
      </c>
      <c r="C971" t="s">
        <v>410</v>
      </c>
      <c r="D971" t="s">
        <v>19</v>
      </c>
      <c r="G971" s="10" t="s">
        <v>411</v>
      </c>
      <c r="H971" t="s">
        <v>48</v>
      </c>
    </row>
    <row r="972" spans="1:11" x14ac:dyDescent="0.25">
      <c r="H972" t="s">
        <v>170</v>
      </c>
    </row>
    <row r="974" spans="1:11" x14ac:dyDescent="0.25">
      <c r="H974" t="s">
        <v>17</v>
      </c>
    </row>
    <row r="976" spans="1:11" x14ac:dyDescent="0.25">
      <c r="A976" s="1" t="s">
        <v>0</v>
      </c>
      <c r="B976" s="1" t="s">
        <v>1</v>
      </c>
      <c r="C976" s="1" t="s">
        <v>2</v>
      </c>
      <c r="D976" s="1" t="s">
        <v>3</v>
      </c>
      <c r="E976" s="1" t="s">
        <v>4</v>
      </c>
      <c r="F976" s="2" t="s">
        <v>5</v>
      </c>
      <c r="G976" s="9" t="s">
        <v>40</v>
      </c>
      <c r="H976" s="1" t="s">
        <v>6</v>
      </c>
      <c r="I976" s="2" t="s">
        <v>7</v>
      </c>
      <c r="J976" s="1" t="s">
        <v>8</v>
      </c>
      <c r="K976" s="1" t="s">
        <v>9</v>
      </c>
    </row>
    <row r="977" spans="1:11" x14ac:dyDescent="0.25">
      <c r="A977" s="3">
        <v>45341</v>
      </c>
      <c r="B977" t="s">
        <v>10</v>
      </c>
      <c r="C977" t="s">
        <v>225</v>
      </c>
      <c r="D977" t="s">
        <v>19</v>
      </c>
      <c r="F977" s="4">
        <v>18183</v>
      </c>
      <c r="G977" s="10" t="s">
        <v>412</v>
      </c>
      <c r="H977" t="s">
        <v>39</v>
      </c>
      <c r="I977" s="4">
        <v>160000</v>
      </c>
    </row>
    <row r="978" spans="1:11" x14ac:dyDescent="0.25">
      <c r="H978" t="s">
        <v>413</v>
      </c>
      <c r="I978" s="4">
        <v>30000</v>
      </c>
    </row>
    <row r="980" spans="1:11" x14ac:dyDescent="0.25">
      <c r="H980" t="s">
        <v>17</v>
      </c>
      <c r="I980" s="4">
        <f>SUM(I977:I979)</f>
        <v>190000</v>
      </c>
    </row>
    <row r="982" spans="1:11" x14ac:dyDescent="0.25">
      <c r="A982" s="1" t="s">
        <v>0</v>
      </c>
      <c r="B982" s="1" t="s">
        <v>1</v>
      </c>
      <c r="C982" s="1" t="s">
        <v>2</v>
      </c>
      <c r="D982" s="1" t="s">
        <v>3</v>
      </c>
      <c r="E982" s="1" t="s">
        <v>4</v>
      </c>
      <c r="F982" s="2" t="s">
        <v>5</v>
      </c>
      <c r="G982" s="9" t="s">
        <v>40</v>
      </c>
      <c r="H982" s="1" t="s">
        <v>6</v>
      </c>
      <c r="I982" s="2" t="s">
        <v>7</v>
      </c>
      <c r="J982" s="1" t="s">
        <v>8</v>
      </c>
      <c r="K982" s="1" t="s">
        <v>9</v>
      </c>
    </row>
    <row r="983" spans="1:11" x14ac:dyDescent="0.25">
      <c r="A983" s="3">
        <v>45341</v>
      </c>
      <c r="B983" t="s">
        <v>414</v>
      </c>
      <c r="C983" t="s">
        <v>415</v>
      </c>
      <c r="F983" s="4">
        <v>44160</v>
      </c>
      <c r="G983" s="10" t="s">
        <v>416</v>
      </c>
      <c r="H983" t="s">
        <v>14</v>
      </c>
      <c r="I983" s="4">
        <v>174000</v>
      </c>
    </row>
    <row r="984" spans="1:11" x14ac:dyDescent="0.25">
      <c r="H984" t="s">
        <v>15</v>
      </c>
      <c r="I984" s="4">
        <v>67000</v>
      </c>
    </row>
    <row r="985" spans="1:11" x14ac:dyDescent="0.25">
      <c r="H985" t="s">
        <v>417</v>
      </c>
      <c r="I985" s="4">
        <v>40000</v>
      </c>
    </row>
    <row r="987" spans="1:11" x14ac:dyDescent="0.25">
      <c r="H987" t="s">
        <v>17</v>
      </c>
      <c r="I987" s="4">
        <f>SUM(I983:I986)</f>
        <v>281000</v>
      </c>
    </row>
    <row r="989" spans="1:11" x14ac:dyDescent="0.25">
      <c r="A989" s="1" t="s">
        <v>0</v>
      </c>
      <c r="B989" s="1" t="s">
        <v>1</v>
      </c>
      <c r="C989" s="1" t="s">
        <v>2</v>
      </c>
      <c r="D989" s="1" t="s">
        <v>3</v>
      </c>
      <c r="E989" s="1" t="s">
        <v>4</v>
      </c>
      <c r="F989" s="2" t="s">
        <v>5</v>
      </c>
      <c r="G989" s="9" t="s">
        <v>40</v>
      </c>
      <c r="H989" s="1" t="s">
        <v>6</v>
      </c>
      <c r="I989" s="2" t="s">
        <v>7</v>
      </c>
      <c r="J989" s="1" t="s">
        <v>8</v>
      </c>
      <c r="K989" s="1" t="s">
        <v>9</v>
      </c>
    </row>
    <row r="990" spans="1:11" x14ac:dyDescent="0.25">
      <c r="A990" s="3">
        <v>45341</v>
      </c>
      <c r="B990" t="s">
        <v>595</v>
      </c>
      <c r="C990" t="s">
        <v>596</v>
      </c>
      <c r="E990">
        <v>2021</v>
      </c>
      <c r="F990" s="4">
        <v>10098</v>
      </c>
      <c r="G990" s="10" t="s">
        <v>597</v>
      </c>
      <c r="H990" t="s">
        <v>106</v>
      </c>
    </row>
    <row r="991" spans="1:11" x14ac:dyDescent="0.25">
      <c r="H991" t="s">
        <v>14</v>
      </c>
    </row>
    <row r="992" spans="1:11" x14ac:dyDescent="0.25">
      <c r="H992" t="s">
        <v>15</v>
      </c>
    </row>
    <row r="993" spans="1:11" x14ac:dyDescent="0.25">
      <c r="H993" t="s">
        <v>50</v>
      </c>
    </row>
    <row r="995" spans="1:11" x14ac:dyDescent="0.25">
      <c r="H995" t="s">
        <v>17</v>
      </c>
    </row>
    <row r="997" spans="1:11" x14ac:dyDescent="0.25">
      <c r="A997" s="1" t="s">
        <v>0</v>
      </c>
      <c r="B997" s="1" t="s">
        <v>1</v>
      </c>
      <c r="C997" s="1" t="s">
        <v>2</v>
      </c>
      <c r="D997" s="1" t="s">
        <v>3</v>
      </c>
      <c r="E997" s="1" t="s">
        <v>4</v>
      </c>
      <c r="F997" s="2" t="s">
        <v>5</v>
      </c>
      <c r="G997" s="9" t="s">
        <v>40</v>
      </c>
      <c r="H997" s="1" t="s">
        <v>6</v>
      </c>
      <c r="I997" s="2" t="s">
        <v>7</v>
      </c>
      <c r="J997" s="1" t="s">
        <v>8</v>
      </c>
      <c r="K997" s="1" t="s">
        <v>9</v>
      </c>
    </row>
    <row r="998" spans="1:11" x14ac:dyDescent="0.25">
      <c r="A998" s="3">
        <v>45341</v>
      </c>
      <c r="B998" t="s">
        <v>308</v>
      </c>
      <c r="C998" t="s">
        <v>598</v>
      </c>
      <c r="E998">
        <v>2010</v>
      </c>
      <c r="F998" s="4">
        <v>53000</v>
      </c>
      <c r="G998" s="10" t="s">
        <v>599</v>
      </c>
      <c r="H998" t="s">
        <v>231</v>
      </c>
    </row>
    <row r="999" spans="1:11" x14ac:dyDescent="0.25">
      <c r="H999" t="s">
        <v>600</v>
      </c>
    </row>
    <row r="1000" spans="1:11" x14ac:dyDescent="0.25">
      <c r="H1000" t="s">
        <v>601</v>
      </c>
    </row>
    <row r="1002" spans="1:11" x14ac:dyDescent="0.25">
      <c r="H1002" t="s">
        <v>17</v>
      </c>
    </row>
    <row r="1004" spans="1:11" x14ac:dyDescent="0.25">
      <c r="A1004" s="1" t="s">
        <v>0</v>
      </c>
      <c r="B1004" s="1" t="s">
        <v>1</v>
      </c>
      <c r="C1004" s="1" t="s">
        <v>2</v>
      </c>
      <c r="D1004" s="1" t="s">
        <v>3</v>
      </c>
      <c r="E1004" s="1" t="s">
        <v>4</v>
      </c>
      <c r="F1004" s="2" t="s">
        <v>5</v>
      </c>
      <c r="G1004" s="9" t="s">
        <v>40</v>
      </c>
      <c r="H1004" s="1" t="s">
        <v>6</v>
      </c>
      <c r="I1004" s="2" t="s">
        <v>7</v>
      </c>
      <c r="J1004" s="1" t="s">
        <v>8</v>
      </c>
      <c r="K1004" s="1" t="s">
        <v>9</v>
      </c>
    </row>
    <row r="1005" spans="1:11" x14ac:dyDescent="0.25">
      <c r="A1005" s="3">
        <v>45342</v>
      </c>
      <c r="B1005" t="s">
        <v>10</v>
      </c>
      <c r="C1005" t="s">
        <v>281</v>
      </c>
      <c r="D1005" t="s">
        <v>26</v>
      </c>
      <c r="G1005" s="10" t="s">
        <v>282</v>
      </c>
      <c r="H1005" t="s">
        <v>59</v>
      </c>
      <c r="I1005" s="4">
        <v>290000</v>
      </c>
    </row>
    <row r="1006" spans="1:11" x14ac:dyDescent="0.25">
      <c r="H1006" t="s">
        <v>283</v>
      </c>
      <c r="I1006" s="4">
        <v>120000</v>
      </c>
    </row>
    <row r="1007" spans="1:11" x14ac:dyDescent="0.25">
      <c r="H1007" t="s">
        <v>284</v>
      </c>
      <c r="I1007" s="4">
        <v>90000</v>
      </c>
    </row>
    <row r="1008" spans="1:11" x14ac:dyDescent="0.25">
      <c r="H1008" t="s">
        <v>285</v>
      </c>
      <c r="I1008" s="4">
        <v>170000</v>
      </c>
    </row>
    <row r="1009" spans="1:11" x14ac:dyDescent="0.25">
      <c r="H1009" t="s">
        <v>286</v>
      </c>
      <c r="I1009" s="4">
        <v>50000</v>
      </c>
    </row>
    <row r="1010" spans="1:11" x14ac:dyDescent="0.25">
      <c r="H1010" t="s">
        <v>287</v>
      </c>
      <c r="I1010" s="4">
        <v>20000</v>
      </c>
    </row>
    <row r="1011" spans="1:11" x14ac:dyDescent="0.25">
      <c r="H1011" t="s">
        <v>288</v>
      </c>
      <c r="I1011" s="4">
        <v>1500000</v>
      </c>
    </row>
    <row r="1012" spans="1:11" x14ac:dyDescent="0.25">
      <c r="H1012" t="s">
        <v>266</v>
      </c>
      <c r="I1012" s="4">
        <v>220000</v>
      </c>
    </row>
    <row r="1014" spans="1:11" x14ac:dyDescent="0.25">
      <c r="H1014" t="s">
        <v>17</v>
      </c>
      <c r="I1014" s="4">
        <f>SUM(I1005:I1013)</f>
        <v>2460000</v>
      </c>
    </row>
    <row r="1016" spans="1:11" x14ac:dyDescent="0.25">
      <c r="A1016" s="1" t="s">
        <v>0</v>
      </c>
      <c r="B1016" s="1" t="s">
        <v>1</v>
      </c>
      <c r="C1016" s="1" t="s">
        <v>2</v>
      </c>
      <c r="D1016" s="1" t="s">
        <v>3</v>
      </c>
      <c r="E1016" s="1" t="s">
        <v>4</v>
      </c>
      <c r="F1016" s="2" t="s">
        <v>5</v>
      </c>
      <c r="G1016" s="9" t="s">
        <v>40</v>
      </c>
      <c r="H1016" s="1" t="s">
        <v>6</v>
      </c>
      <c r="I1016" s="2" t="s">
        <v>7</v>
      </c>
      <c r="J1016" s="1" t="s">
        <v>8</v>
      </c>
      <c r="K1016" s="1" t="s">
        <v>9</v>
      </c>
    </row>
    <row r="1017" spans="1:11" x14ac:dyDescent="0.25">
      <c r="A1017" s="3">
        <v>45342</v>
      </c>
      <c r="B1017" t="s">
        <v>385</v>
      </c>
      <c r="C1017" t="s">
        <v>386</v>
      </c>
      <c r="D1017" t="s">
        <v>19</v>
      </c>
      <c r="F1017" s="4">
        <v>3136</v>
      </c>
      <c r="G1017" s="10" t="s">
        <v>387</v>
      </c>
      <c r="H1017" t="s">
        <v>388</v>
      </c>
      <c r="I1017" s="4">
        <v>180000</v>
      </c>
    </row>
    <row r="1018" spans="1:11" x14ac:dyDescent="0.25">
      <c r="H1018" t="s">
        <v>389</v>
      </c>
      <c r="I1018" s="4">
        <v>180000</v>
      </c>
    </row>
    <row r="1019" spans="1:11" x14ac:dyDescent="0.25">
      <c r="H1019" t="s">
        <v>390</v>
      </c>
      <c r="I1019" s="4">
        <v>140000</v>
      </c>
    </row>
    <row r="1020" spans="1:11" x14ac:dyDescent="0.25">
      <c r="H1020" t="s">
        <v>259</v>
      </c>
      <c r="I1020" s="4">
        <v>42000</v>
      </c>
    </row>
    <row r="1021" spans="1:11" x14ac:dyDescent="0.25">
      <c r="H1021" t="s">
        <v>391</v>
      </c>
      <c r="I1021" s="4">
        <v>80000</v>
      </c>
    </row>
    <row r="1022" spans="1:11" x14ac:dyDescent="0.25">
      <c r="H1022" t="s">
        <v>34</v>
      </c>
      <c r="I1022" s="4">
        <v>40000</v>
      </c>
    </row>
    <row r="1023" spans="1:11" x14ac:dyDescent="0.25">
      <c r="H1023" t="s">
        <v>392</v>
      </c>
      <c r="I1023" s="4">
        <v>30000</v>
      </c>
    </row>
    <row r="1024" spans="1:11" x14ac:dyDescent="0.25">
      <c r="H1024" t="s">
        <v>393</v>
      </c>
      <c r="I1024" s="4">
        <v>82000</v>
      </c>
    </row>
    <row r="1026" spans="1:11" x14ac:dyDescent="0.25">
      <c r="H1026" t="s">
        <v>17</v>
      </c>
      <c r="I1026" s="4">
        <f>SUM(I1017:I1025)</f>
        <v>774000</v>
      </c>
    </row>
    <row r="1028" spans="1:11" x14ac:dyDescent="0.25">
      <c r="A1028" s="1" t="s">
        <v>0</v>
      </c>
      <c r="B1028" s="1" t="s">
        <v>1</v>
      </c>
      <c r="C1028" s="1" t="s">
        <v>2</v>
      </c>
      <c r="D1028" s="1" t="s">
        <v>3</v>
      </c>
      <c r="E1028" s="1" t="s">
        <v>4</v>
      </c>
      <c r="F1028" s="2" t="s">
        <v>5</v>
      </c>
      <c r="G1028" s="9" t="s">
        <v>40</v>
      </c>
      <c r="H1028" s="1" t="s">
        <v>6</v>
      </c>
      <c r="I1028" s="2" t="s">
        <v>7</v>
      </c>
      <c r="J1028" s="1" t="s">
        <v>8</v>
      </c>
      <c r="K1028" s="1" t="s">
        <v>9</v>
      </c>
    </row>
    <row r="1029" spans="1:11" x14ac:dyDescent="0.25">
      <c r="A1029" s="3">
        <v>45342</v>
      </c>
      <c r="B1029" t="s">
        <v>418</v>
      </c>
      <c r="H1029" t="s">
        <v>419</v>
      </c>
    </row>
    <row r="1030" spans="1:11" x14ac:dyDescent="0.25">
      <c r="H1030" t="s">
        <v>420</v>
      </c>
      <c r="I1030" s="4">
        <v>220000</v>
      </c>
    </row>
    <row r="1031" spans="1:11" x14ac:dyDescent="0.25">
      <c r="H1031" t="s">
        <v>48</v>
      </c>
      <c r="I1031" s="4">
        <v>120000</v>
      </c>
    </row>
    <row r="1032" spans="1:11" x14ac:dyDescent="0.25">
      <c r="H1032" t="s">
        <v>108</v>
      </c>
      <c r="I1032" s="4">
        <v>35000</v>
      </c>
    </row>
    <row r="1033" spans="1:11" x14ac:dyDescent="0.25">
      <c r="H1033" t="s">
        <v>421</v>
      </c>
      <c r="I1033" s="4">
        <v>80000</v>
      </c>
    </row>
    <row r="1034" spans="1:11" x14ac:dyDescent="0.25">
      <c r="H1034" t="s">
        <v>422</v>
      </c>
      <c r="I1034" s="4">
        <v>35000</v>
      </c>
    </row>
    <row r="1035" spans="1:11" x14ac:dyDescent="0.25">
      <c r="H1035" t="s">
        <v>423</v>
      </c>
      <c r="I1035" s="4">
        <v>40000</v>
      </c>
    </row>
    <row r="1036" spans="1:11" x14ac:dyDescent="0.25">
      <c r="H1036" t="s">
        <v>424</v>
      </c>
      <c r="I1036" s="4">
        <v>40000</v>
      </c>
    </row>
    <row r="1038" spans="1:11" x14ac:dyDescent="0.25">
      <c r="H1038" t="s">
        <v>17</v>
      </c>
      <c r="I1038" s="4">
        <f>SUM(I1029:I1037)</f>
        <v>570000</v>
      </c>
    </row>
    <row r="1040" spans="1:11" x14ac:dyDescent="0.25">
      <c r="A1040" s="1" t="s">
        <v>0</v>
      </c>
      <c r="B1040" s="1" t="s">
        <v>1</v>
      </c>
      <c r="C1040" s="1" t="s">
        <v>2</v>
      </c>
      <c r="D1040" s="1" t="s">
        <v>3</v>
      </c>
      <c r="E1040" s="1" t="s">
        <v>4</v>
      </c>
      <c r="F1040" s="2" t="s">
        <v>5</v>
      </c>
      <c r="G1040" s="9" t="s">
        <v>40</v>
      </c>
      <c r="H1040" s="1" t="s">
        <v>6</v>
      </c>
      <c r="I1040" s="2" t="s">
        <v>7</v>
      </c>
      <c r="J1040" s="1" t="s">
        <v>8</v>
      </c>
      <c r="K1040" s="1" t="s">
        <v>9</v>
      </c>
    </row>
    <row r="1041" spans="1:11" x14ac:dyDescent="0.25">
      <c r="A1041" s="3">
        <v>45342</v>
      </c>
      <c r="B1041" t="s">
        <v>10</v>
      </c>
      <c r="C1041" t="s">
        <v>394</v>
      </c>
      <c r="D1041" t="s">
        <v>26</v>
      </c>
      <c r="F1041" s="4">
        <v>124064</v>
      </c>
      <c r="G1041" s="10" t="s">
        <v>395</v>
      </c>
      <c r="H1041" t="s">
        <v>48</v>
      </c>
      <c r="I1041" s="4">
        <v>80000</v>
      </c>
    </row>
    <row r="1042" spans="1:11" x14ac:dyDescent="0.25">
      <c r="H1042" t="s">
        <v>56</v>
      </c>
      <c r="I1042" s="4">
        <v>350000</v>
      </c>
    </row>
    <row r="1043" spans="1:11" x14ac:dyDescent="0.25">
      <c r="H1043" t="s">
        <v>16</v>
      </c>
      <c r="I1043" s="4">
        <v>30000</v>
      </c>
    </row>
    <row r="1045" spans="1:11" x14ac:dyDescent="0.25">
      <c r="H1045" t="s">
        <v>17</v>
      </c>
      <c r="I1045" s="4">
        <f>SUM(I1041:I1044)</f>
        <v>460000</v>
      </c>
    </row>
    <row r="1047" spans="1:11" x14ac:dyDescent="0.25">
      <c r="A1047" s="1" t="s">
        <v>0</v>
      </c>
      <c r="B1047" s="1" t="s">
        <v>1</v>
      </c>
      <c r="C1047" s="1" t="s">
        <v>2</v>
      </c>
      <c r="D1047" s="1" t="s">
        <v>3</v>
      </c>
      <c r="E1047" s="1" t="s">
        <v>4</v>
      </c>
      <c r="F1047" s="2" t="s">
        <v>5</v>
      </c>
      <c r="G1047" s="9" t="s">
        <v>40</v>
      </c>
      <c r="H1047" s="1" t="s">
        <v>6</v>
      </c>
      <c r="I1047" s="2" t="s">
        <v>7</v>
      </c>
      <c r="J1047" s="1" t="s">
        <v>8</v>
      </c>
      <c r="K1047" s="1" t="s">
        <v>9</v>
      </c>
    </row>
    <row r="1048" spans="1:11" x14ac:dyDescent="0.25">
      <c r="A1048" s="3">
        <v>45342</v>
      </c>
      <c r="B1048" t="s">
        <v>511</v>
      </c>
      <c r="D1048" t="s">
        <v>19</v>
      </c>
      <c r="G1048" s="10" t="s">
        <v>512</v>
      </c>
      <c r="H1048" t="s">
        <v>513</v>
      </c>
      <c r="I1048" s="4">
        <v>350000</v>
      </c>
    </row>
    <row r="1049" spans="1:11" x14ac:dyDescent="0.25">
      <c r="H1049" t="s">
        <v>514</v>
      </c>
      <c r="I1049" s="4">
        <v>70000</v>
      </c>
    </row>
    <row r="1050" spans="1:11" x14ac:dyDescent="0.25">
      <c r="H1050" t="s">
        <v>515</v>
      </c>
      <c r="I1050" s="4">
        <v>50000</v>
      </c>
    </row>
    <row r="1051" spans="1:11" x14ac:dyDescent="0.25">
      <c r="H1051" t="s">
        <v>516</v>
      </c>
      <c r="I1051" s="4">
        <v>45000</v>
      </c>
    </row>
    <row r="1052" spans="1:11" x14ac:dyDescent="0.25">
      <c r="H1052" t="s">
        <v>33</v>
      </c>
      <c r="I1052" s="4">
        <v>20000</v>
      </c>
    </row>
    <row r="1053" spans="1:11" x14ac:dyDescent="0.25">
      <c r="H1053" t="s">
        <v>517</v>
      </c>
      <c r="I1053" s="4">
        <v>90000</v>
      </c>
    </row>
    <row r="1054" spans="1:11" x14ac:dyDescent="0.25">
      <c r="H1054" t="s">
        <v>518</v>
      </c>
      <c r="I1054" s="4">
        <v>163000</v>
      </c>
    </row>
    <row r="1055" spans="1:11" x14ac:dyDescent="0.25">
      <c r="H1055" t="s">
        <v>519</v>
      </c>
      <c r="I1055" s="4">
        <v>30000</v>
      </c>
    </row>
    <row r="1057" spans="1:11" x14ac:dyDescent="0.25">
      <c r="H1057" t="s">
        <v>17</v>
      </c>
      <c r="I1057" s="4">
        <f>SUM(I1048:I1056)</f>
        <v>818000</v>
      </c>
    </row>
    <row r="1059" spans="1:11" x14ac:dyDescent="0.25">
      <c r="A1059" s="1" t="s">
        <v>0</v>
      </c>
      <c r="B1059" s="1" t="s">
        <v>1</v>
      </c>
      <c r="C1059" s="1" t="s">
        <v>2</v>
      </c>
      <c r="D1059" s="1" t="s">
        <v>3</v>
      </c>
      <c r="E1059" s="1" t="s">
        <v>4</v>
      </c>
      <c r="F1059" s="2" t="s">
        <v>5</v>
      </c>
      <c r="G1059" s="9" t="s">
        <v>40</v>
      </c>
      <c r="H1059" s="1" t="s">
        <v>6</v>
      </c>
      <c r="I1059" s="2" t="s">
        <v>7</v>
      </c>
      <c r="J1059" s="1" t="s">
        <v>8</v>
      </c>
      <c r="K1059" s="1" t="s">
        <v>9</v>
      </c>
    </row>
    <row r="1060" spans="1:11" x14ac:dyDescent="0.25">
      <c r="A1060" s="3">
        <v>45342</v>
      </c>
      <c r="B1060" t="s">
        <v>414</v>
      </c>
      <c r="C1060" t="s">
        <v>520</v>
      </c>
      <c r="H1060" t="s">
        <v>106</v>
      </c>
      <c r="I1060" s="4">
        <v>150000</v>
      </c>
    </row>
    <row r="1061" spans="1:11" x14ac:dyDescent="0.25">
      <c r="H1061" t="s">
        <v>14</v>
      </c>
      <c r="I1061" s="4">
        <v>168000</v>
      </c>
    </row>
    <row r="1062" spans="1:11" x14ac:dyDescent="0.25">
      <c r="H1062" t="s">
        <v>15</v>
      </c>
      <c r="I1062" s="4">
        <v>72000</v>
      </c>
    </row>
    <row r="1063" spans="1:11" x14ac:dyDescent="0.25">
      <c r="H1063" t="s">
        <v>50</v>
      </c>
      <c r="I1063" s="4">
        <v>137000</v>
      </c>
    </row>
    <row r="1065" spans="1:11" x14ac:dyDescent="0.25">
      <c r="H1065" t="s">
        <v>17</v>
      </c>
      <c r="I1065" s="4">
        <f>SUM(I1060:I1064)</f>
        <v>527000</v>
      </c>
    </row>
    <row r="1067" spans="1:11" x14ac:dyDescent="0.25">
      <c r="A1067" s="1" t="s">
        <v>0</v>
      </c>
      <c r="B1067" s="1" t="s">
        <v>1</v>
      </c>
      <c r="C1067" s="1" t="s">
        <v>2</v>
      </c>
      <c r="D1067" s="1" t="s">
        <v>3</v>
      </c>
      <c r="E1067" s="1" t="s">
        <v>4</v>
      </c>
      <c r="F1067" s="2" t="s">
        <v>5</v>
      </c>
      <c r="G1067" s="9" t="s">
        <v>40</v>
      </c>
      <c r="H1067" s="1" t="s">
        <v>6</v>
      </c>
      <c r="I1067" s="2" t="s">
        <v>7</v>
      </c>
      <c r="J1067" s="1" t="s">
        <v>8</v>
      </c>
      <c r="K1067" s="1" t="s">
        <v>9</v>
      </c>
    </row>
    <row r="1068" spans="1:11" x14ac:dyDescent="0.25">
      <c r="A1068" s="3">
        <v>45343</v>
      </c>
      <c r="B1068" t="s">
        <v>10</v>
      </c>
      <c r="C1068" t="s">
        <v>45</v>
      </c>
      <c r="F1068" s="4">
        <v>72256</v>
      </c>
      <c r="H1068" t="s">
        <v>425</v>
      </c>
      <c r="I1068" s="4">
        <v>15000</v>
      </c>
    </row>
    <row r="1069" spans="1:11" x14ac:dyDescent="0.25">
      <c r="H1069" t="s">
        <v>426</v>
      </c>
      <c r="I1069" s="4">
        <v>30000</v>
      </c>
    </row>
    <row r="1070" spans="1:11" x14ac:dyDescent="0.25">
      <c r="H1070" t="s">
        <v>427</v>
      </c>
      <c r="I1070" s="4">
        <v>276000</v>
      </c>
    </row>
    <row r="1072" spans="1:11" x14ac:dyDescent="0.25">
      <c r="H1072" t="s">
        <v>17</v>
      </c>
      <c r="I1072" s="4">
        <f>SUM(I1068:I1071)</f>
        <v>321000</v>
      </c>
    </row>
    <row r="1074" spans="1:11" x14ac:dyDescent="0.25">
      <c r="A1074" s="1" t="s">
        <v>0</v>
      </c>
      <c r="B1074" s="1" t="s">
        <v>1</v>
      </c>
      <c r="C1074" s="1" t="s">
        <v>2</v>
      </c>
      <c r="D1074" s="1" t="s">
        <v>3</v>
      </c>
      <c r="E1074" s="1" t="s">
        <v>4</v>
      </c>
      <c r="F1074" s="2" t="s">
        <v>5</v>
      </c>
      <c r="G1074" s="9" t="s">
        <v>40</v>
      </c>
      <c r="H1074" s="1" t="s">
        <v>6</v>
      </c>
      <c r="I1074" s="2" t="s">
        <v>7</v>
      </c>
      <c r="J1074" s="1" t="s">
        <v>8</v>
      </c>
      <c r="K1074" s="1" t="s">
        <v>9</v>
      </c>
    </row>
    <row r="1075" spans="1:11" x14ac:dyDescent="0.25">
      <c r="A1075" s="3">
        <v>45343</v>
      </c>
      <c r="B1075" t="s">
        <v>603</v>
      </c>
      <c r="C1075" t="s">
        <v>604</v>
      </c>
      <c r="E1075">
        <v>2023</v>
      </c>
      <c r="G1075" s="10" t="s">
        <v>605</v>
      </c>
      <c r="H1075" t="s">
        <v>606</v>
      </c>
    </row>
    <row r="1076" spans="1:11" x14ac:dyDescent="0.25">
      <c r="H1076" t="s">
        <v>607</v>
      </c>
    </row>
    <row r="1078" spans="1:11" x14ac:dyDescent="0.25">
      <c r="H1078" t="s">
        <v>17</v>
      </c>
    </row>
    <row r="1080" spans="1:11" x14ac:dyDescent="0.25">
      <c r="A1080" s="1" t="s">
        <v>0</v>
      </c>
      <c r="B1080" s="1" t="s">
        <v>1</v>
      </c>
      <c r="C1080" s="1" t="s">
        <v>2</v>
      </c>
      <c r="D1080" s="1" t="s">
        <v>3</v>
      </c>
      <c r="E1080" s="1" t="s">
        <v>4</v>
      </c>
      <c r="F1080" s="2" t="s">
        <v>5</v>
      </c>
      <c r="G1080" s="9" t="s">
        <v>40</v>
      </c>
      <c r="H1080" s="1" t="s">
        <v>6</v>
      </c>
      <c r="I1080" s="2" t="s">
        <v>7</v>
      </c>
      <c r="J1080" s="1" t="s">
        <v>8</v>
      </c>
      <c r="K1080" s="1" t="s">
        <v>9</v>
      </c>
    </row>
    <row r="1081" spans="1:11" x14ac:dyDescent="0.25">
      <c r="A1081" s="3">
        <v>45344</v>
      </c>
      <c r="B1081" t="s">
        <v>10</v>
      </c>
      <c r="C1081" t="s">
        <v>602</v>
      </c>
      <c r="D1081" t="s">
        <v>12</v>
      </c>
      <c r="E1081">
        <v>2011</v>
      </c>
      <c r="G1081" s="10" t="s">
        <v>428</v>
      </c>
      <c r="H1081" t="s">
        <v>433</v>
      </c>
      <c r="I1081" s="4">
        <v>650000</v>
      </c>
    </row>
    <row r="1082" spans="1:11" x14ac:dyDescent="0.25">
      <c r="A1082" s="3"/>
      <c r="H1082" t="s">
        <v>35</v>
      </c>
      <c r="I1082" s="4">
        <v>380000</v>
      </c>
    </row>
    <row r="1083" spans="1:11" x14ac:dyDescent="0.25">
      <c r="H1083" t="s">
        <v>429</v>
      </c>
      <c r="I1083" s="4">
        <v>30000</v>
      </c>
    </row>
    <row r="1084" spans="1:11" x14ac:dyDescent="0.25">
      <c r="H1084" t="s">
        <v>430</v>
      </c>
      <c r="I1084" s="4">
        <v>40000</v>
      </c>
    </row>
    <row r="1085" spans="1:11" x14ac:dyDescent="0.25">
      <c r="H1085" t="s">
        <v>33</v>
      </c>
      <c r="I1085" s="4">
        <v>20000</v>
      </c>
    </row>
    <row r="1086" spans="1:11" x14ac:dyDescent="0.25">
      <c r="H1086" t="s">
        <v>431</v>
      </c>
      <c r="I1086" s="4">
        <v>20000</v>
      </c>
    </row>
    <row r="1087" spans="1:11" x14ac:dyDescent="0.25">
      <c r="H1087" t="s">
        <v>155</v>
      </c>
      <c r="I1087" s="4">
        <v>250000</v>
      </c>
    </row>
    <row r="1088" spans="1:11" x14ac:dyDescent="0.25">
      <c r="H1088" t="s">
        <v>432</v>
      </c>
      <c r="I1088" s="4">
        <v>200000</v>
      </c>
    </row>
    <row r="1090" spans="1:11" x14ac:dyDescent="0.25">
      <c r="H1090" t="s">
        <v>17</v>
      </c>
      <c r="I1090" s="4">
        <f>SUM(I1081:I1089)</f>
        <v>1590000</v>
      </c>
    </row>
    <row r="1092" spans="1:11" x14ac:dyDescent="0.25">
      <c r="A1092" s="1" t="s">
        <v>0</v>
      </c>
      <c r="B1092" s="1" t="s">
        <v>1</v>
      </c>
      <c r="C1092" s="1" t="s">
        <v>2</v>
      </c>
      <c r="D1092" s="1" t="s">
        <v>3</v>
      </c>
      <c r="E1092" s="1" t="s">
        <v>4</v>
      </c>
      <c r="F1092" s="2" t="s">
        <v>5</v>
      </c>
      <c r="G1092" s="9" t="s">
        <v>40</v>
      </c>
      <c r="H1092" s="1" t="s">
        <v>6</v>
      </c>
      <c r="I1092" s="2" t="s">
        <v>7</v>
      </c>
      <c r="J1092" s="1" t="s">
        <v>8</v>
      </c>
      <c r="K1092" s="1" t="s">
        <v>9</v>
      </c>
    </row>
    <row r="1093" spans="1:11" x14ac:dyDescent="0.25">
      <c r="A1093" s="3">
        <v>45404</v>
      </c>
      <c r="B1093" t="s">
        <v>10</v>
      </c>
      <c r="C1093" t="s">
        <v>434</v>
      </c>
      <c r="D1093" t="s">
        <v>19</v>
      </c>
      <c r="E1093">
        <v>2021</v>
      </c>
      <c r="G1093" s="10" t="s">
        <v>435</v>
      </c>
      <c r="H1093" t="s">
        <v>14</v>
      </c>
      <c r="I1093" s="4">
        <v>164000</v>
      </c>
    </row>
    <row r="1094" spans="1:11" x14ac:dyDescent="0.25">
      <c r="H1094" t="s">
        <v>15</v>
      </c>
      <c r="I1094" s="4">
        <v>46000</v>
      </c>
    </row>
    <row r="1095" spans="1:11" x14ac:dyDescent="0.25">
      <c r="H1095" t="s">
        <v>59</v>
      </c>
      <c r="I1095" s="4">
        <v>295000</v>
      </c>
    </row>
    <row r="1096" spans="1:11" x14ac:dyDescent="0.25">
      <c r="H1096" t="s">
        <v>20</v>
      </c>
      <c r="I1096" s="4">
        <v>140000</v>
      </c>
    </row>
    <row r="1097" spans="1:11" x14ac:dyDescent="0.25">
      <c r="H1097" t="s">
        <v>33</v>
      </c>
      <c r="I1097" s="4">
        <v>20000</v>
      </c>
    </row>
    <row r="1099" spans="1:11" x14ac:dyDescent="0.25">
      <c r="H1099" t="s">
        <v>17</v>
      </c>
      <c r="I1099" s="4">
        <f>SUM(I1093:I1098)</f>
        <v>665000</v>
      </c>
    </row>
    <row r="1101" spans="1:11" x14ac:dyDescent="0.25">
      <c r="A1101" s="1" t="s">
        <v>0</v>
      </c>
      <c r="B1101" s="1" t="s">
        <v>1</v>
      </c>
      <c r="C1101" s="1" t="s">
        <v>2</v>
      </c>
      <c r="D1101" s="1" t="s">
        <v>3</v>
      </c>
      <c r="E1101" s="1" t="s">
        <v>4</v>
      </c>
      <c r="F1101" s="2" t="s">
        <v>5</v>
      </c>
      <c r="G1101" s="9" t="s">
        <v>40</v>
      </c>
      <c r="H1101" s="1" t="s">
        <v>6</v>
      </c>
      <c r="I1101" s="2" t="s">
        <v>7</v>
      </c>
      <c r="J1101" s="1" t="s">
        <v>8</v>
      </c>
      <c r="K1101" s="1" t="s">
        <v>9</v>
      </c>
    </row>
    <row r="1102" spans="1:11" x14ac:dyDescent="0.25">
      <c r="A1102" s="3">
        <v>45344</v>
      </c>
      <c r="B1102" t="s">
        <v>436</v>
      </c>
      <c r="C1102" t="s">
        <v>18</v>
      </c>
      <c r="D1102" t="s">
        <v>19</v>
      </c>
      <c r="F1102" s="4">
        <v>124492</v>
      </c>
      <c r="G1102" s="10" t="s">
        <v>42</v>
      </c>
      <c r="H1102" t="s">
        <v>14</v>
      </c>
      <c r="I1102" s="4">
        <v>192000</v>
      </c>
    </row>
    <row r="1103" spans="1:11" x14ac:dyDescent="0.25">
      <c r="H1103" t="s">
        <v>15</v>
      </c>
      <c r="I1103" s="4">
        <v>46000</v>
      </c>
    </row>
    <row r="1104" spans="1:11" x14ac:dyDescent="0.25">
      <c r="H1104" t="s">
        <v>108</v>
      </c>
      <c r="I1104" s="4">
        <v>30000</v>
      </c>
    </row>
    <row r="1105" spans="1:11" x14ac:dyDescent="0.25">
      <c r="H1105" t="s">
        <v>50</v>
      </c>
      <c r="I1105" s="4">
        <v>105000</v>
      </c>
    </row>
    <row r="1106" spans="1:11" x14ac:dyDescent="0.25">
      <c r="H1106" t="s">
        <v>16</v>
      </c>
      <c r="I1106" s="4">
        <v>60000</v>
      </c>
    </row>
    <row r="1108" spans="1:11" x14ac:dyDescent="0.25">
      <c r="H1108" t="s">
        <v>28</v>
      </c>
      <c r="I1108" s="4">
        <f>SUM(I1102:I1107)</f>
        <v>433000</v>
      </c>
    </row>
    <row r="1110" spans="1:11" x14ac:dyDescent="0.25">
      <c r="A1110" s="1" t="s">
        <v>0</v>
      </c>
      <c r="B1110" s="1" t="s">
        <v>1</v>
      </c>
      <c r="C1110" s="1" t="s">
        <v>2</v>
      </c>
      <c r="D1110" s="1" t="s">
        <v>3</v>
      </c>
      <c r="E1110" s="1" t="s">
        <v>4</v>
      </c>
      <c r="F1110" s="2" t="s">
        <v>5</v>
      </c>
      <c r="G1110" s="9" t="s">
        <v>40</v>
      </c>
      <c r="H1110" s="1" t="s">
        <v>6</v>
      </c>
      <c r="I1110" s="2" t="s">
        <v>7</v>
      </c>
      <c r="J1110" s="1" t="s">
        <v>8</v>
      </c>
      <c r="K1110" s="1" t="s">
        <v>9</v>
      </c>
    </row>
    <row r="1111" spans="1:11" x14ac:dyDescent="0.25">
      <c r="A1111" s="3">
        <v>45344</v>
      </c>
      <c r="B1111" t="s">
        <v>437</v>
      </c>
      <c r="D1111" t="s">
        <v>12</v>
      </c>
      <c r="G1111" s="10" t="s">
        <v>438</v>
      </c>
      <c r="H1111" t="s">
        <v>243</v>
      </c>
      <c r="I1111" s="4">
        <v>100000</v>
      </c>
    </row>
    <row r="1112" spans="1:11" x14ac:dyDescent="0.25">
      <c r="H1112" t="s">
        <v>439</v>
      </c>
      <c r="I1112" s="4">
        <v>40000</v>
      </c>
    </row>
    <row r="1113" spans="1:11" x14ac:dyDescent="0.25">
      <c r="H1113" t="s">
        <v>440</v>
      </c>
    </row>
    <row r="1114" spans="1:11" x14ac:dyDescent="0.25">
      <c r="H1114" t="s">
        <v>441</v>
      </c>
      <c r="I1114" s="4">
        <v>25000</v>
      </c>
    </row>
    <row r="1116" spans="1:11" x14ac:dyDescent="0.25">
      <c r="H1116" t="s">
        <v>17</v>
      </c>
      <c r="I1116" s="4">
        <f>SUM(I1111:I1115)</f>
        <v>165000</v>
      </c>
    </row>
    <row r="1118" spans="1:11" x14ac:dyDescent="0.25">
      <c r="A1118" s="1" t="s">
        <v>0</v>
      </c>
      <c r="B1118" s="1" t="s">
        <v>1</v>
      </c>
      <c r="C1118" s="1" t="s">
        <v>2</v>
      </c>
      <c r="D1118" s="1" t="s">
        <v>3</v>
      </c>
      <c r="E1118" s="1" t="s">
        <v>4</v>
      </c>
      <c r="F1118" s="2" t="s">
        <v>5</v>
      </c>
      <c r="G1118" s="9" t="s">
        <v>40</v>
      </c>
      <c r="H1118" s="1" t="s">
        <v>6</v>
      </c>
      <c r="I1118" s="2" t="s">
        <v>7</v>
      </c>
      <c r="J1118" s="1" t="s">
        <v>8</v>
      </c>
      <c r="K1118" s="1" t="s">
        <v>9</v>
      </c>
    </row>
    <row r="1119" spans="1:11" x14ac:dyDescent="0.25">
      <c r="A1119" s="3">
        <v>45344</v>
      </c>
      <c r="B1119" t="s">
        <v>511</v>
      </c>
      <c r="C1119" t="s">
        <v>554</v>
      </c>
      <c r="F1119" s="4">
        <v>20535</v>
      </c>
      <c r="H1119" t="s">
        <v>59</v>
      </c>
      <c r="I1119" s="4">
        <v>230000</v>
      </c>
    </row>
    <row r="1120" spans="1:11" x14ac:dyDescent="0.25">
      <c r="H1120" t="s">
        <v>275</v>
      </c>
      <c r="I1120" s="4">
        <v>22000</v>
      </c>
    </row>
    <row r="1122" spans="1:11" x14ac:dyDescent="0.25">
      <c r="H1122" t="s">
        <v>17</v>
      </c>
      <c r="I1122" s="4">
        <f>SUM(I1119:I1121)</f>
        <v>252000</v>
      </c>
    </row>
    <row r="1124" spans="1:11" x14ac:dyDescent="0.25">
      <c r="A1124" s="1" t="s">
        <v>0</v>
      </c>
      <c r="B1124" s="1" t="s">
        <v>1</v>
      </c>
      <c r="C1124" s="1" t="s">
        <v>2</v>
      </c>
      <c r="D1124" s="1" t="s">
        <v>3</v>
      </c>
      <c r="E1124" s="1" t="s">
        <v>4</v>
      </c>
      <c r="F1124" s="2" t="s">
        <v>5</v>
      </c>
      <c r="G1124" s="9" t="s">
        <v>40</v>
      </c>
      <c r="H1124" s="1" t="s">
        <v>6</v>
      </c>
      <c r="I1124" s="2" t="s">
        <v>7</v>
      </c>
      <c r="J1124" s="1" t="s">
        <v>8</v>
      </c>
      <c r="K1124" s="1" t="s">
        <v>9</v>
      </c>
    </row>
    <row r="1125" spans="1:11" x14ac:dyDescent="0.25">
      <c r="A1125" s="3">
        <v>45344</v>
      </c>
      <c r="B1125" t="s">
        <v>85</v>
      </c>
      <c r="C1125" t="s">
        <v>555</v>
      </c>
      <c r="G1125" s="10" t="s">
        <v>556</v>
      </c>
      <c r="H1125" t="s">
        <v>180</v>
      </c>
    </row>
    <row r="1127" spans="1:11" x14ac:dyDescent="0.25">
      <c r="H1127" t="s">
        <v>17</v>
      </c>
    </row>
    <row r="1135" spans="1:11" x14ac:dyDescent="0.25">
      <c r="A1135" s="1" t="s">
        <v>0</v>
      </c>
      <c r="B1135" s="1" t="s">
        <v>1</v>
      </c>
      <c r="C1135" s="1" t="s">
        <v>2</v>
      </c>
      <c r="D1135" s="1" t="s">
        <v>3</v>
      </c>
      <c r="E1135" s="1" t="s">
        <v>4</v>
      </c>
      <c r="F1135" s="2" t="s">
        <v>5</v>
      </c>
      <c r="G1135" s="9" t="s">
        <v>40</v>
      </c>
      <c r="H1135" s="1" t="s">
        <v>6</v>
      </c>
      <c r="I1135" s="2" t="s">
        <v>7</v>
      </c>
      <c r="J1135" s="1" t="s">
        <v>8</v>
      </c>
      <c r="K1135" s="1" t="s">
        <v>9</v>
      </c>
    </row>
    <row r="1136" spans="1:11" x14ac:dyDescent="0.25">
      <c r="A1136" s="3">
        <v>45345</v>
      </c>
      <c r="B1136" t="s">
        <v>385</v>
      </c>
      <c r="C1136" t="s">
        <v>549</v>
      </c>
      <c r="D1136" t="s">
        <v>19</v>
      </c>
      <c r="E1136">
        <v>2019</v>
      </c>
      <c r="G1136" s="10" t="s">
        <v>550</v>
      </c>
      <c r="H1136" t="s">
        <v>551</v>
      </c>
      <c r="I1136" s="4">
        <v>90000</v>
      </c>
    </row>
    <row r="1137" spans="1:11" x14ac:dyDescent="0.25">
      <c r="H1137" t="s">
        <v>231</v>
      </c>
      <c r="I1137" s="4">
        <v>120000</v>
      </c>
    </row>
    <row r="1138" spans="1:11" x14ac:dyDescent="0.25">
      <c r="H1138" t="s">
        <v>552</v>
      </c>
      <c r="I1138" s="4">
        <v>60000</v>
      </c>
    </row>
    <row r="1139" spans="1:11" x14ac:dyDescent="0.25">
      <c r="H1139" t="s">
        <v>553</v>
      </c>
      <c r="I1139" s="4">
        <v>10000</v>
      </c>
    </row>
    <row r="1140" spans="1:11" x14ac:dyDescent="0.25">
      <c r="H1140" t="s">
        <v>287</v>
      </c>
      <c r="I1140" s="4">
        <v>20000</v>
      </c>
    </row>
    <row r="1141" spans="1:11" x14ac:dyDescent="0.25">
      <c r="H1141" t="s">
        <v>33</v>
      </c>
      <c r="I1141" s="4">
        <v>20000</v>
      </c>
    </row>
    <row r="1143" spans="1:11" x14ac:dyDescent="0.25">
      <c r="H1143" t="s">
        <v>17</v>
      </c>
      <c r="I1143" s="4">
        <f>SUM(I1136:I1142)</f>
        <v>320000</v>
      </c>
    </row>
    <row r="1145" spans="1:11" x14ac:dyDescent="0.25">
      <c r="A1145" s="1" t="s">
        <v>0</v>
      </c>
      <c r="B1145" s="1" t="s">
        <v>1</v>
      </c>
      <c r="C1145" s="1" t="s">
        <v>2</v>
      </c>
      <c r="D1145" s="1" t="s">
        <v>3</v>
      </c>
      <c r="E1145" s="1" t="s">
        <v>4</v>
      </c>
      <c r="F1145" s="2" t="s">
        <v>5</v>
      </c>
      <c r="G1145" s="9" t="s">
        <v>40</v>
      </c>
      <c r="H1145" s="1" t="s">
        <v>6</v>
      </c>
      <c r="I1145" s="2" t="s">
        <v>7</v>
      </c>
      <c r="J1145" s="1" t="s">
        <v>8</v>
      </c>
      <c r="K1145" s="1" t="s">
        <v>9</v>
      </c>
    </row>
    <row r="1146" spans="1:11" x14ac:dyDescent="0.25">
      <c r="A1146" s="3">
        <v>45345</v>
      </c>
      <c r="B1146" t="s">
        <v>122</v>
      </c>
      <c r="C1146" t="s">
        <v>557</v>
      </c>
      <c r="G1146" s="10" t="s">
        <v>558</v>
      </c>
      <c r="H1146" t="s">
        <v>37</v>
      </c>
      <c r="I1146" s="4">
        <v>240000</v>
      </c>
    </row>
    <row r="1147" spans="1:11" x14ac:dyDescent="0.25">
      <c r="H1147" t="s">
        <v>340</v>
      </c>
      <c r="I1147" s="4">
        <v>57000</v>
      </c>
    </row>
    <row r="1148" spans="1:11" x14ac:dyDescent="0.25">
      <c r="H1148" t="s">
        <v>33</v>
      </c>
      <c r="I1148" s="4">
        <v>20000</v>
      </c>
    </row>
    <row r="1150" spans="1:11" x14ac:dyDescent="0.25">
      <c r="H1150" t="s">
        <v>17</v>
      </c>
      <c r="I1150" s="4">
        <f>SUM(I1146:I1149)</f>
        <v>317000</v>
      </c>
    </row>
    <row r="1152" spans="1:11" x14ac:dyDescent="0.25">
      <c r="A1152" s="1" t="s">
        <v>0</v>
      </c>
      <c r="B1152" s="1" t="s">
        <v>1</v>
      </c>
      <c r="C1152" s="1" t="s">
        <v>2</v>
      </c>
      <c r="D1152" s="1" t="s">
        <v>3</v>
      </c>
      <c r="E1152" s="1" t="s">
        <v>4</v>
      </c>
      <c r="F1152" s="2" t="s">
        <v>5</v>
      </c>
      <c r="G1152" s="9" t="s">
        <v>40</v>
      </c>
      <c r="H1152" s="1" t="s">
        <v>6</v>
      </c>
      <c r="I1152" s="2" t="s">
        <v>7</v>
      </c>
      <c r="J1152" s="1" t="s">
        <v>8</v>
      </c>
      <c r="K1152" s="1" t="s">
        <v>9</v>
      </c>
    </row>
    <row r="1153" spans="1:11" x14ac:dyDescent="0.25">
      <c r="A1153" s="3">
        <v>45348</v>
      </c>
      <c r="B1153" t="s">
        <v>618</v>
      </c>
      <c r="C1153" t="s">
        <v>620</v>
      </c>
      <c r="D1153" t="s">
        <v>19</v>
      </c>
      <c r="F1153" s="4">
        <v>52183</v>
      </c>
      <c r="G1153" s="10" t="s">
        <v>619</v>
      </c>
      <c r="H1153" t="s">
        <v>14</v>
      </c>
    </row>
    <row r="1155" spans="1:11" x14ac:dyDescent="0.25">
      <c r="H1155" t="s">
        <v>17</v>
      </c>
    </row>
    <row r="1157" spans="1:11" x14ac:dyDescent="0.25">
      <c r="A1157" s="1" t="s">
        <v>0</v>
      </c>
      <c r="B1157" s="1" t="s">
        <v>1</v>
      </c>
      <c r="C1157" s="1" t="s">
        <v>2</v>
      </c>
      <c r="D1157" s="1" t="s">
        <v>3</v>
      </c>
      <c r="E1157" s="1" t="s">
        <v>4</v>
      </c>
      <c r="F1157" s="2" t="s">
        <v>5</v>
      </c>
      <c r="G1157" s="9" t="s">
        <v>40</v>
      </c>
      <c r="H1157" s="1" t="s">
        <v>6</v>
      </c>
      <c r="I1157" s="2" t="s">
        <v>7</v>
      </c>
      <c r="J1157" s="1" t="s">
        <v>8</v>
      </c>
      <c r="K1157" s="1" t="s">
        <v>9</v>
      </c>
    </row>
    <row r="1158" spans="1:11" x14ac:dyDescent="0.25">
      <c r="A1158" s="3">
        <v>45348</v>
      </c>
      <c r="B1158" t="s">
        <v>214</v>
      </c>
      <c r="C1158" t="s">
        <v>215</v>
      </c>
      <c r="F1158" s="4">
        <v>39704</v>
      </c>
      <c r="H1158" t="s">
        <v>624</v>
      </c>
      <c r="I1158" s="4">
        <v>33000</v>
      </c>
    </row>
    <row r="1159" spans="1:11" x14ac:dyDescent="0.25">
      <c r="H1159" t="s">
        <v>625</v>
      </c>
      <c r="I1159" s="4">
        <v>65000</v>
      </c>
    </row>
    <row r="1160" spans="1:11" x14ac:dyDescent="0.25">
      <c r="H1160" t="s">
        <v>16</v>
      </c>
      <c r="I1160" s="4">
        <v>30000</v>
      </c>
    </row>
    <row r="1162" spans="1:11" x14ac:dyDescent="0.25">
      <c r="H1162" t="s">
        <v>17</v>
      </c>
      <c r="I1162" s="4">
        <f>SUM(I1158:I1161)</f>
        <v>128000</v>
      </c>
    </row>
    <row r="1164" spans="1:11" x14ac:dyDescent="0.25">
      <c r="A1164" s="1" t="s">
        <v>0</v>
      </c>
      <c r="B1164" s="1" t="s">
        <v>1</v>
      </c>
      <c r="C1164" s="1" t="s">
        <v>2</v>
      </c>
      <c r="D1164" s="1" t="s">
        <v>3</v>
      </c>
      <c r="E1164" s="1" t="s">
        <v>4</v>
      </c>
      <c r="F1164" s="2" t="s">
        <v>5</v>
      </c>
      <c r="G1164" s="9" t="s">
        <v>40</v>
      </c>
      <c r="H1164" s="1" t="s">
        <v>6</v>
      </c>
      <c r="I1164" s="2" t="s">
        <v>7</v>
      </c>
      <c r="J1164" s="1" t="s">
        <v>8</v>
      </c>
      <c r="K1164" s="1" t="s">
        <v>9</v>
      </c>
    </row>
    <row r="1165" spans="1:11" x14ac:dyDescent="0.25">
      <c r="A1165" s="3">
        <v>45349</v>
      </c>
      <c r="B1165" t="s">
        <v>10</v>
      </c>
      <c r="C1165" t="s">
        <v>626</v>
      </c>
      <c r="D1165" t="s">
        <v>19</v>
      </c>
      <c r="H1165" t="s">
        <v>627</v>
      </c>
      <c r="I1165" s="4">
        <v>40000</v>
      </c>
    </row>
    <row r="1167" spans="1:11" x14ac:dyDescent="0.25">
      <c r="H1167" t="s">
        <v>17</v>
      </c>
      <c r="I1167" s="4">
        <v>40000</v>
      </c>
    </row>
    <row r="1169" spans="1:11" x14ac:dyDescent="0.25">
      <c r="A1169" s="1" t="s">
        <v>0</v>
      </c>
      <c r="B1169" s="1" t="s">
        <v>1</v>
      </c>
      <c r="C1169" s="1" t="s">
        <v>2</v>
      </c>
      <c r="D1169" s="1" t="s">
        <v>3</v>
      </c>
      <c r="E1169" s="1" t="s">
        <v>4</v>
      </c>
      <c r="F1169" s="2" t="s">
        <v>5</v>
      </c>
      <c r="G1169" s="9" t="s">
        <v>40</v>
      </c>
      <c r="H1169" s="1" t="s">
        <v>6</v>
      </c>
      <c r="I1169" s="2" t="s">
        <v>7</v>
      </c>
      <c r="J1169" s="1" t="s">
        <v>8</v>
      </c>
      <c r="K1169" s="1" t="s">
        <v>9</v>
      </c>
    </row>
    <row r="1170" spans="1:11" x14ac:dyDescent="0.25">
      <c r="A1170" s="3">
        <v>45349</v>
      </c>
      <c r="B1170" t="s">
        <v>608</v>
      </c>
      <c r="C1170" t="s">
        <v>609</v>
      </c>
      <c r="F1170" s="4">
        <v>29311</v>
      </c>
      <c r="G1170" s="10" t="s">
        <v>610</v>
      </c>
      <c r="H1170" t="s">
        <v>611</v>
      </c>
      <c r="I1170" s="4">
        <v>160000</v>
      </c>
    </row>
    <row r="1171" spans="1:11" x14ac:dyDescent="0.25">
      <c r="H1171" t="s">
        <v>612</v>
      </c>
      <c r="I1171" s="4">
        <v>70000</v>
      </c>
    </row>
    <row r="1172" spans="1:11" x14ac:dyDescent="0.25">
      <c r="H1172" t="s">
        <v>102</v>
      </c>
      <c r="I1172" s="4">
        <v>15000</v>
      </c>
    </row>
    <row r="1173" spans="1:11" x14ac:dyDescent="0.25">
      <c r="H1173" t="s">
        <v>170</v>
      </c>
      <c r="I1173" s="4">
        <v>6000</v>
      </c>
    </row>
    <row r="1174" spans="1:11" x14ac:dyDescent="0.25">
      <c r="H1174" t="s">
        <v>534</v>
      </c>
      <c r="I1174" s="4">
        <v>10000</v>
      </c>
    </row>
    <row r="1176" spans="1:11" x14ac:dyDescent="0.25">
      <c r="H1176" t="s">
        <v>17</v>
      </c>
      <c r="I1176" s="4">
        <f>SUM(I1170:I1175)</f>
        <v>261000</v>
      </c>
    </row>
    <row r="1178" spans="1:11" x14ac:dyDescent="0.25">
      <c r="A1178" s="1" t="s">
        <v>0</v>
      </c>
      <c r="B1178" s="1" t="s">
        <v>1</v>
      </c>
      <c r="C1178" s="1" t="s">
        <v>2</v>
      </c>
      <c r="D1178" s="1" t="s">
        <v>3</v>
      </c>
      <c r="E1178" s="1" t="s">
        <v>4</v>
      </c>
      <c r="F1178" s="2" t="s">
        <v>5</v>
      </c>
      <c r="G1178" s="9" t="s">
        <v>40</v>
      </c>
      <c r="H1178" s="1" t="s">
        <v>6</v>
      </c>
      <c r="I1178" s="2" t="s">
        <v>7</v>
      </c>
      <c r="J1178" s="1" t="s">
        <v>8</v>
      </c>
      <c r="K1178" s="1" t="s">
        <v>9</v>
      </c>
    </row>
    <row r="1179" spans="1:11" x14ac:dyDescent="0.25">
      <c r="A1179" s="3">
        <v>45349</v>
      </c>
      <c r="B1179" t="s">
        <v>168</v>
      </c>
      <c r="C1179" t="s">
        <v>621</v>
      </c>
      <c r="E1179">
        <v>2022</v>
      </c>
      <c r="F1179" s="4">
        <v>48773</v>
      </c>
      <c r="G1179" s="10" t="s">
        <v>622</v>
      </c>
      <c r="H1179" t="s">
        <v>623</v>
      </c>
    </row>
    <row r="1181" spans="1:11" x14ac:dyDescent="0.25">
      <c r="H1181" t="s">
        <v>17</v>
      </c>
    </row>
    <row r="1183" spans="1:11" x14ac:dyDescent="0.25">
      <c r="A1183" s="1" t="s">
        <v>0</v>
      </c>
      <c r="B1183" s="1" t="s">
        <v>1</v>
      </c>
      <c r="C1183" s="1" t="s">
        <v>2</v>
      </c>
      <c r="D1183" s="1" t="s">
        <v>3</v>
      </c>
      <c r="E1183" s="1" t="s">
        <v>4</v>
      </c>
      <c r="F1183" s="2" t="s">
        <v>5</v>
      </c>
      <c r="G1183" s="9" t="s">
        <v>40</v>
      </c>
      <c r="H1183" s="1" t="s">
        <v>6</v>
      </c>
      <c r="I1183" s="2" t="s">
        <v>7</v>
      </c>
      <c r="J1183" s="1" t="s">
        <v>8</v>
      </c>
      <c r="K1183" s="1" t="s">
        <v>9</v>
      </c>
    </row>
    <row r="1184" spans="1:11" x14ac:dyDescent="0.25">
      <c r="A1184" s="3">
        <v>45350</v>
      </c>
      <c r="B1184" t="s">
        <v>29</v>
      </c>
      <c r="C1184" t="s">
        <v>613</v>
      </c>
      <c r="E1184">
        <v>2001</v>
      </c>
      <c r="F1184" s="4">
        <v>159354</v>
      </c>
      <c r="G1184" s="10" t="s">
        <v>614</v>
      </c>
      <c r="H1184" t="s">
        <v>615</v>
      </c>
      <c r="I1184" s="4">
        <v>250000</v>
      </c>
    </row>
    <row r="1185" spans="1:11" x14ac:dyDescent="0.25">
      <c r="H1185" t="s">
        <v>616</v>
      </c>
      <c r="I1185" s="4">
        <v>90000</v>
      </c>
    </row>
    <row r="1186" spans="1:11" x14ac:dyDescent="0.25">
      <c r="H1186" t="s">
        <v>617</v>
      </c>
      <c r="I1186" s="4">
        <v>78000</v>
      </c>
    </row>
    <row r="1187" spans="1:11" x14ac:dyDescent="0.25">
      <c r="H1187" t="s">
        <v>14</v>
      </c>
      <c r="I1187" s="4">
        <v>128000</v>
      </c>
    </row>
    <row r="1189" spans="1:11" x14ac:dyDescent="0.25">
      <c r="H1189" t="s">
        <v>17</v>
      </c>
      <c r="I1189" s="4">
        <f>SUM(I1184:I1188)</f>
        <v>546000</v>
      </c>
    </row>
    <row r="1191" spans="1:11" x14ac:dyDescent="0.25">
      <c r="A1191" s="1" t="s">
        <v>0</v>
      </c>
      <c r="B1191" s="1" t="s">
        <v>1</v>
      </c>
      <c r="C1191" s="1" t="s">
        <v>2</v>
      </c>
      <c r="D1191" s="1" t="s">
        <v>3</v>
      </c>
      <c r="E1191" s="1" t="s">
        <v>4</v>
      </c>
      <c r="F1191" s="2" t="s">
        <v>5</v>
      </c>
      <c r="G1191" s="9" t="s">
        <v>40</v>
      </c>
      <c r="H1191" s="1" t="s">
        <v>6</v>
      </c>
      <c r="I1191" s="2" t="s">
        <v>7</v>
      </c>
      <c r="J1191" s="1" t="s">
        <v>8</v>
      </c>
      <c r="K1191" s="1" t="s">
        <v>9</v>
      </c>
    </row>
    <row r="1192" spans="1:11" x14ac:dyDescent="0.25">
      <c r="A1192" s="3">
        <v>45350</v>
      </c>
      <c r="B1192" t="s">
        <v>628</v>
      </c>
      <c r="C1192" t="s">
        <v>629</v>
      </c>
      <c r="D1192" t="s">
        <v>31</v>
      </c>
      <c r="F1192" s="4">
        <v>12220</v>
      </c>
      <c r="H1192" t="s">
        <v>170</v>
      </c>
      <c r="I1192" s="4">
        <v>60000</v>
      </c>
    </row>
    <row r="1193" spans="1:11" x14ac:dyDescent="0.25">
      <c r="H1193" t="s">
        <v>14</v>
      </c>
      <c r="I1193" s="4">
        <v>156000</v>
      </c>
    </row>
    <row r="1194" spans="1:11" x14ac:dyDescent="0.25">
      <c r="H1194" t="s">
        <v>15</v>
      </c>
      <c r="I1194" s="4">
        <v>46000</v>
      </c>
    </row>
    <row r="1195" spans="1:11" x14ac:dyDescent="0.25">
      <c r="H1195" t="s">
        <v>16</v>
      </c>
      <c r="I1195" s="4">
        <v>30000</v>
      </c>
    </row>
    <row r="1197" spans="1:11" x14ac:dyDescent="0.25">
      <c r="H1197" t="s">
        <v>17</v>
      </c>
      <c r="I1197" s="4">
        <f>SUM(I1192:I1196)</f>
        <v>292000</v>
      </c>
    </row>
    <row r="1199" spans="1:11" x14ac:dyDescent="0.25">
      <c r="A1199" s="1" t="s">
        <v>0</v>
      </c>
      <c r="B1199" s="1" t="s">
        <v>1</v>
      </c>
      <c r="C1199" s="1" t="s">
        <v>2</v>
      </c>
      <c r="D1199" s="1" t="s">
        <v>3</v>
      </c>
      <c r="E1199" s="1" t="s">
        <v>4</v>
      </c>
      <c r="F1199" s="2" t="s">
        <v>5</v>
      </c>
      <c r="G1199" s="9" t="s">
        <v>40</v>
      </c>
      <c r="H1199" s="1" t="s">
        <v>6</v>
      </c>
      <c r="I1199" s="2" t="s">
        <v>7</v>
      </c>
      <c r="J1199" s="1" t="s">
        <v>8</v>
      </c>
      <c r="K1199" s="1" t="s">
        <v>9</v>
      </c>
    </row>
    <row r="1200" spans="1:11" x14ac:dyDescent="0.25">
      <c r="A1200" s="3">
        <v>45350</v>
      </c>
      <c r="B1200" t="s">
        <v>29</v>
      </c>
      <c r="C1200" t="s">
        <v>630</v>
      </c>
      <c r="F1200" s="4">
        <v>40920</v>
      </c>
      <c r="H1200" t="s">
        <v>14</v>
      </c>
      <c r="I1200" s="4">
        <v>144000</v>
      </c>
    </row>
    <row r="1201" spans="1:11" x14ac:dyDescent="0.25">
      <c r="H1201" t="s">
        <v>15</v>
      </c>
      <c r="I1201" s="4">
        <v>46000</v>
      </c>
    </row>
    <row r="1202" spans="1:11" x14ac:dyDescent="0.25">
      <c r="H1202" t="s">
        <v>627</v>
      </c>
      <c r="I1202" s="4">
        <v>30000</v>
      </c>
    </row>
    <row r="1203" spans="1:11" x14ac:dyDescent="0.25">
      <c r="H1203" t="s">
        <v>48</v>
      </c>
      <c r="I1203" s="4">
        <v>80000</v>
      </c>
    </row>
    <row r="1204" spans="1:11" x14ac:dyDescent="0.25">
      <c r="H1204" t="s">
        <v>16</v>
      </c>
      <c r="I1204" s="4">
        <v>30000</v>
      </c>
    </row>
    <row r="1206" spans="1:11" x14ac:dyDescent="0.25">
      <c r="H1206" t="s">
        <v>483</v>
      </c>
      <c r="I1206" s="4">
        <f>SUM(I1200:I1205)</f>
        <v>330000</v>
      </c>
    </row>
    <row r="1208" spans="1:11" x14ac:dyDescent="0.25">
      <c r="A1208" s="1" t="s">
        <v>0</v>
      </c>
      <c r="B1208" s="1" t="s">
        <v>1</v>
      </c>
      <c r="C1208" s="1" t="s">
        <v>2</v>
      </c>
      <c r="D1208" s="1" t="s">
        <v>3</v>
      </c>
      <c r="E1208" s="1" t="s">
        <v>4</v>
      </c>
      <c r="F1208" s="2" t="s">
        <v>5</v>
      </c>
      <c r="G1208" s="9" t="s">
        <v>40</v>
      </c>
      <c r="H1208" s="1" t="s">
        <v>6</v>
      </c>
      <c r="I1208" s="2" t="s">
        <v>7</v>
      </c>
      <c r="J1208" s="1" t="s">
        <v>8</v>
      </c>
      <c r="K1208" s="1" t="s">
        <v>9</v>
      </c>
    </row>
    <row r="1209" spans="1:11" x14ac:dyDescent="0.25">
      <c r="A1209" s="3">
        <v>45350</v>
      </c>
      <c r="B1209" t="s">
        <v>10</v>
      </c>
      <c r="C1209" t="s">
        <v>631</v>
      </c>
      <c r="G1209" s="10" t="s">
        <v>632</v>
      </c>
      <c r="H1209" t="s">
        <v>582</v>
      </c>
      <c r="I1209" s="4">
        <v>550000</v>
      </c>
    </row>
    <row r="1210" spans="1:11" x14ac:dyDescent="0.25">
      <c r="H1210" t="s">
        <v>633</v>
      </c>
      <c r="I1210" s="4">
        <v>100000</v>
      </c>
    </row>
    <row r="1211" spans="1:11" x14ac:dyDescent="0.25">
      <c r="H1211" t="s">
        <v>190</v>
      </c>
      <c r="I1211" s="4">
        <v>80000</v>
      </c>
    </row>
    <row r="1212" spans="1:11" x14ac:dyDescent="0.25">
      <c r="H1212" t="s">
        <v>634</v>
      </c>
      <c r="I1212" s="4">
        <v>65000</v>
      </c>
    </row>
    <row r="1213" spans="1:11" x14ac:dyDescent="0.25">
      <c r="H1213" t="s">
        <v>635</v>
      </c>
      <c r="I1213" s="4">
        <v>50000</v>
      </c>
    </row>
    <row r="1215" spans="1:11" x14ac:dyDescent="0.25">
      <c r="H1215" t="s">
        <v>17</v>
      </c>
      <c r="I1215" s="4">
        <f>SUM(I1209:I1214)</f>
        <v>845000</v>
      </c>
    </row>
    <row r="1217" spans="1:11" x14ac:dyDescent="0.25">
      <c r="A1217" s="1" t="s">
        <v>0</v>
      </c>
      <c r="B1217" s="1" t="s">
        <v>1</v>
      </c>
      <c r="C1217" s="1" t="s">
        <v>2</v>
      </c>
      <c r="D1217" s="1" t="s">
        <v>3</v>
      </c>
      <c r="E1217" s="1" t="s">
        <v>4</v>
      </c>
      <c r="F1217" s="2" t="s">
        <v>5</v>
      </c>
      <c r="G1217" s="9" t="s">
        <v>40</v>
      </c>
      <c r="H1217" s="1" t="s">
        <v>6</v>
      </c>
      <c r="I1217" s="2" t="s">
        <v>7</v>
      </c>
      <c r="J1217" s="1" t="s">
        <v>8</v>
      </c>
      <c r="K1217" s="1" t="s">
        <v>9</v>
      </c>
    </row>
    <row r="1218" spans="1:11" x14ac:dyDescent="0.25">
      <c r="A1218" s="3">
        <v>45350</v>
      </c>
      <c r="B1218" t="s">
        <v>10</v>
      </c>
      <c r="C1218" t="s">
        <v>636</v>
      </c>
      <c r="D1218" t="s">
        <v>26</v>
      </c>
      <c r="F1218" s="4">
        <v>56059</v>
      </c>
      <c r="G1218" s="10" t="s">
        <v>637</v>
      </c>
      <c r="H1218" t="s">
        <v>14</v>
      </c>
      <c r="I1218" s="4">
        <v>192000</v>
      </c>
    </row>
    <row r="1219" spans="1:11" x14ac:dyDescent="0.25">
      <c r="H1219" t="s">
        <v>15</v>
      </c>
      <c r="I1219" s="4">
        <v>46000</v>
      </c>
    </row>
    <row r="1220" spans="1:11" x14ac:dyDescent="0.25">
      <c r="H1220" t="s">
        <v>638</v>
      </c>
      <c r="I1220" s="4">
        <v>100000</v>
      </c>
    </row>
    <row r="1221" spans="1:11" x14ac:dyDescent="0.25">
      <c r="H1221" t="s">
        <v>106</v>
      </c>
      <c r="I1221" s="4">
        <v>150000</v>
      </c>
    </row>
    <row r="1222" spans="1:11" x14ac:dyDescent="0.25">
      <c r="H1222" t="s">
        <v>639</v>
      </c>
      <c r="I1222" s="4">
        <v>60000</v>
      </c>
    </row>
    <row r="1224" spans="1:11" x14ac:dyDescent="0.25">
      <c r="H1224" t="s">
        <v>17</v>
      </c>
      <c r="I1224" s="4">
        <f>SUM(I1218:I1223)</f>
        <v>548000</v>
      </c>
    </row>
    <row r="1226" spans="1:11" x14ac:dyDescent="0.25">
      <c r="A1226" s="1" t="s">
        <v>0</v>
      </c>
      <c r="B1226" s="1" t="s">
        <v>1</v>
      </c>
      <c r="C1226" s="1" t="s">
        <v>2</v>
      </c>
      <c r="D1226" s="1" t="s">
        <v>3</v>
      </c>
      <c r="E1226" s="1" t="s">
        <v>4</v>
      </c>
      <c r="F1226" s="2" t="s">
        <v>5</v>
      </c>
      <c r="G1226" s="9" t="s">
        <v>40</v>
      </c>
      <c r="H1226" s="1" t="s">
        <v>6</v>
      </c>
      <c r="I1226" s="2" t="s">
        <v>7</v>
      </c>
      <c r="J1226" s="1" t="s">
        <v>8</v>
      </c>
      <c r="K1226" s="1" t="s">
        <v>9</v>
      </c>
    </row>
    <row r="1227" spans="1:11" x14ac:dyDescent="0.25">
      <c r="A1227" s="3">
        <v>45351</v>
      </c>
      <c r="B1227" t="s">
        <v>10</v>
      </c>
      <c r="C1227" t="s">
        <v>808</v>
      </c>
      <c r="D1227" t="s">
        <v>26</v>
      </c>
      <c r="E1227">
        <v>2024</v>
      </c>
      <c r="F1227" s="4">
        <v>303</v>
      </c>
      <c r="G1227" s="10" t="s">
        <v>809</v>
      </c>
      <c r="H1227" t="s">
        <v>810</v>
      </c>
    </row>
    <row r="1228" spans="1:11" x14ac:dyDescent="0.25">
      <c r="H1228" t="s">
        <v>179</v>
      </c>
    </row>
    <row r="1229" spans="1:11" x14ac:dyDescent="0.25">
      <c r="H1229" t="s">
        <v>811</v>
      </c>
    </row>
    <row r="1230" spans="1:11" x14ac:dyDescent="0.25">
      <c r="H1230" t="s">
        <v>812</v>
      </c>
    </row>
    <row r="1231" spans="1:11" x14ac:dyDescent="0.25">
      <c r="H1231" t="s">
        <v>320</v>
      </c>
    </row>
    <row r="1232" spans="1:11" x14ac:dyDescent="0.25">
      <c r="H1232" t="s">
        <v>185</v>
      </c>
    </row>
    <row r="1233" spans="1:11" x14ac:dyDescent="0.25">
      <c r="H1233" t="s">
        <v>813</v>
      </c>
    </row>
    <row r="1234" spans="1:11" x14ac:dyDescent="0.25">
      <c r="H1234" t="s">
        <v>814</v>
      </c>
    </row>
    <row r="1235" spans="1:11" x14ac:dyDescent="0.25">
      <c r="H1235" t="s">
        <v>187</v>
      </c>
    </row>
    <row r="1236" spans="1:11" x14ac:dyDescent="0.25">
      <c r="H1236" t="s">
        <v>815</v>
      </c>
    </row>
    <row r="1237" spans="1:11" x14ac:dyDescent="0.25">
      <c r="H1237" t="s">
        <v>816</v>
      </c>
    </row>
    <row r="1238" spans="1:11" x14ac:dyDescent="0.25">
      <c r="H1238" t="s">
        <v>300</v>
      </c>
    </row>
    <row r="1239" spans="1:11" x14ac:dyDescent="0.25">
      <c r="H1239" t="s">
        <v>148</v>
      </c>
    </row>
    <row r="1241" spans="1:11" x14ac:dyDescent="0.25">
      <c r="H1241" t="s">
        <v>17</v>
      </c>
    </row>
    <row r="1243" spans="1:11" x14ac:dyDescent="0.25">
      <c r="A1243" s="1" t="s">
        <v>0</v>
      </c>
      <c r="B1243" s="1" t="s">
        <v>1</v>
      </c>
      <c r="C1243" s="1" t="s">
        <v>2</v>
      </c>
      <c r="D1243" s="1" t="s">
        <v>3</v>
      </c>
      <c r="E1243" s="1" t="s">
        <v>4</v>
      </c>
      <c r="F1243" s="2" t="s">
        <v>5</v>
      </c>
      <c r="G1243" s="9" t="s">
        <v>40</v>
      </c>
      <c r="H1243" s="1" t="s">
        <v>6</v>
      </c>
      <c r="I1243" s="2" t="s">
        <v>7</v>
      </c>
      <c r="J1243" s="1" t="s">
        <v>8</v>
      </c>
      <c r="K1243" s="1" t="s">
        <v>9</v>
      </c>
    </row>
    <row r="1244" spans="1:11" x14ac:dyDescent="0.25">
      <c r="A1244" s="3">
        <v>45352</v>
      </c>
      <c r="B1244" t="s">
        <v>10</v>
      </c>
      <c r="C1244" t="s">
        <v>640</v>
      </c>
      <c r="D1244" t="s">
        <v>26</v>
      </c>
      <c r="E1244">
        <v>2011</v>
      </c>
      <c r="F1244" s="4">
        <v>129400</v>
      </c>
      <c r="G1244" s="10" t="s">
        <v>547</v>
      </c>
      <c r="H1244" t="s">
        <v>69</v>
      </c>
      <c r="I1244" s="4">
        <v>1500000</v>
      </c>
    </row>
    <row r="1245" spans="1:11" x14ac:dyDescent="0.25">
      <c r="H1245" t="s">
        <v>548</v>
      </c>
      <c r="I1245" s="4">
        <v>120000</v>
      </c>
    </row>
    <row r="1246" spans="1:11" x14ac:dyDescent="0.25">
      <c r="H1246" t="s">
        <v>33</v>
      </c>
      <c r="I1246" s="4">
        <v>20000</v>
      </c>
    </row>
    <row r="1247" spans="1:11" x14ac:dyDescent="0.25">
      <c r="H1247" t="s">
        <v>534</v>
      </c>
      <c r="I1247" s="4">
        <v>20000</v>
      </c>
    </row>
    <row r="1249" spans="1:11" x14ac:dyDescent="0.25">
      <c r="H1249" t="s">
        <v>17</v>
      </c>
      <c r="I1249" s="4">
        <f>SUM(I1244:I1248)</f>
        <v>1660000</v>
      </c>
    </row>
    <row r="1251" spans="1:11" x14ac:dyDescent="0.25">
      <c r="A1251" s="1" t="s">
        <v>0</v>
      </c>
      <c r="B1251" s="1" t="s">
        <v>1</v>
      </c>
      <c r="C1251" s="1" t="s">
        <v>2</v>
      </c>
      <c r="D1251" s="1" t="s">
        <v>3</v>
      </c>
      <c r="E1251" s="1" t="s">
        <v>4</v>
      </c>
      <c r="F1251" s="2" t="s">
        <v>5</v>
      </c>
      <c r="G1251" s="9" t="s">
        <v>40</v>
      </c>
      <c r="H1251" s="1" t="s">
        <v>6</v>
      </c>
      <c r="I1251" s="2" t="s">
        <v>7</v>
      </c>
      <c r="J1251" s="1" t="s">
        <v>8</v>
      </c>
      <c r="K1251" s="1" t="s">
        <v>9</v>
      </c>
    </row>
    <row r="1252" spans="1:11" x14ac:dyDescent="0.25">
      <c r="A1252" s="3">
        <v>45352</v>
      </c>
      <c r="B1252" t="s">
        <v>10</v>
      </c>
      <c r="C1252" t="s">
        <v>117</v>
      </c>
      <c r="D1252" t="s">
        <v>118</v>
      </c>
      <c r="F1252" s="4">
        <v>55113</v>
      </c>
      <c r="G1252" s="10" t="s">
        <v>641</v>
      </c>
      <c r="H1252" t="s">
        <v>50</v>
      </c>
      <c r="I1252" s="4">
        <v>105000</v>
      </c>
    </row>
    <row r="1253" spans="1:11" x14ac:dyDescent="0.25">
      <c r="H1253" t="s">
        <v>642</v>
      </c>
      <c r="I1253" s="4">
        <v>50000</v>
      </c>
    </row>
    <row r="1254" spans="1:11" x14ac:dyDescent="0.25">
      <c r="H1254" t="s">
        <v>16</v>
      </c>
      <c r="I1254" s="4">
        <v>150000</v>
      </c>
    </row>
    <row r="1256" spans="1:11" x14ac:dyDescent="0.25">
      <c r="H1256" t="s">
        <v>17</v>
      </c>
      <c r="I1256" s="4">
        <f>SUM(I1252:I1255)</f>
        <v>305000</v>
      </c>
    </row>
    <row r="1258" spans="1:11" x14ac:dyDescent="0.25">
      <c r="A1258" s="1" t="s">
        <v>0</v>
      </c>
      <c r="B1258" s="1" t="s">
        <v>1</v>
      </c>
      <c r="C1258" s="1" t="s">
        <v>2</v>
      </c>
      <c r="D1258" s="1" t="s">
        <v>3</v>
      </c>
      <c r="E1258" s="1" t="s">
        <v>4</v>
      </c>
      <c r="F1258" s="2" t="s">
        <v>5</v>
      </c>
      <c r="G1258" s="9" t="s">
        <v>40</v>
      </c>
      <c r="H1258" s="1" t="s">
        <v>6</v>
      </c>
      <c r="I1258" s="2" t="s">
        <v>7</v>
      </c>
      <c r="J1258" s="1" t="s">
        <v>8</v>
      </c>
      <c r="K1258" s="1" t="s">
        <v>9</v>
      </c>
    </row>
    <row r="1259" spans="1:11" x14ac:dyDescent="0.25">
      <c r="A1259" s="3">
        <v>45353</v>
      </c>
      <c r="B1259" t="s">
        <v>125</v>
      </c>
      <c r="D1259" t="s">
        <v>87</v>
      </c>
      <c r="G1259" s="10" t="s">
        <v>127</v>
      </c>
      <c r="H1259" t="s">
        <v>339</v>
      </c>
      <c r="I1259" s="4">
        <v>210000</v>
      </c>
    </row>
    <row r="1260" spans="1:11" x14ac:dyDescent="0.25">
      <c r="H1260" t="s">
        <v>14</v>
      </c>
      <c r="I1260" s="4">
        <v>50000</v>
      </c>
    </row>
    <row r="1261" spans="1:11" x14ac:dyDescent="0.25">
      <c r="H1261" t="s">
        <v>39</v>
      </c>
      <c r="I1261" s="4">
        <v>35000</v>
      </c>
    </row>
    <row r="1263" spans="1:11" x14ac:dyDescent="0.25">
      <c r="H1263" t="s">
        <v>17</v>
      </c>
      <c r="I1263" s="4">
        <f>SUM(I1259:I1262)</f>
        <v>295000</v>
      </c>
    </row>
    <row r="1265" spans="1:11" x14ac:dyDescent="0.25">
      <c r="A1265" s="1" t="s">
        <v>0</v>
      </c>
      <c r="B1265" s="1" t="s">
        <v>1</v>
      </c>
      <c r="C1265" s="1" t="s">
        <v>2</v>
      </c>
      <c r="D1265" s="1" t="s">
        <v>3</v>
      </c>
      <c r="E1265" s="1" t="s">
        <v>4</v>
      </c>
      <c r="F1265" s="2" t="s">
        <v>5</v>
      </c>
      <c r="G1265" s="9" t="s">
        <v>40</v>
      </c>
      <c r="H1265" s="1" t="s">
        <v>6</v>
      </c>
      <c r="I1265" s="2" t="s">
        <v>7</v>
      </c>
      <c r="J1265" s="1" t="s">
        <v>8</v>
      </c>
      <c r="K1265" s="1" t="s">
        <v>9</v>
      </c>
    </row>
    <row r="1266" spans="1:11" x14ac:dyDescent="0.25">
      <c r="A1266" s="3">
        <v>45353</v>
      </c>
      <c r="B1266" t="s">
        <v>303</v>
      </c>
      <c r="C1266" t="s">
        <v>304</v>
      </c>
      <c r="G1266" s="10" t="s">
        <v>817</v>
      </c>
      <c r="H1266" t="s">
        <v>818</v>
      </c>
    </row>
    <row r="1267" spans="1:11" x14ac:dyDescent="0.25">
      <c r="H1267" t="s">
        <v>819</v>
      </c>
    </row>
    <row r="1269" spans="1:11" x14ac:dyDescent="0.25">
      <c r="H1269" t="s">
        <v>17</v>
      </c>
    </row>
    <row r="1271" spans="1:11" x14ac:dyDescent="0.25">
      <c r="A1271" s="1" t="s">
        <v>0</v>
      </c>
      <c r="B1271" s="1" t="s">
        <v>1</v>
      </c>
      <c r="C1271" s="1" t="s">
        <v>2</v>
      </c>
      <c r="D1271" s="1" t="s">
        <v>3</v>
      </c>
      <c r="E1271" s="1" t="s">
        <v>4</v>
      </c>
      <c r="F1271" s="2" t="s">
        <v>5</v>
      </c>
      <c r="G1271" s="9" t="s">
        <v>40</v>
      </c>
      <c r="H1271" s="1" t="s">
        <v>6</v>
      </c>
      <c r="I1271" s="2" t="s">
        <v>7</v>
      </c>
      <c r="J1271" s="1" t="s">
        <v>8</v>
      </c>
      <c r="K1271" s="1" t="s">
        <v>9</v>
      </c>
    </row>
    <row r="1272" spans="1:11" x14ac:dyDescent="0.25">
      <c r="A1272" s="3">
        <v>45353</v>
      </c>
      <c r="B1272" t="s">
        <v>643</v>
      </c>
      <c r="C1272" t="s">
        <v>644</v>
      </c>
      <c r="D1272" t="s">
        <v>19</v>
      </c>
      <c r="F1272" s="4">
        <v>64450</v>
      </c>
      <c r="G1272" s="10" t="s">
        <v>645</v>
      </c>
      <c r="H1272" t="s">
        <v>615</v>
      </c>
      <c r="I1272" s="4">
        <v>220000</v>
      </c>
    </row>
    <row r="1273" spans="1:11" x14ac:dyDescent="0.25">
      <c r="A1273" s="3"/>
      <c r="H1273" t="s">
        <v>646</v>
      </c>
      <c r="I1273" s="4">
        <v>20000</v>
      </c>
    </row>
    <row r="1274" spans="1:11" x14ac:dyDescent="0.25">
      <c r="A1274" s="3"/>
      <c r="H1274" t="s">
        <v>287</v>
      </c>
      <c r="I1274" s="4">
        <v>35000</v>
      </c>
    </row>
    <row r="1275" spans="1:11" x14ac:dyDescent="0.25">
      <c r="H1275" t="s">
        <v>647</v>
      </c>
      <c r="I1275" s="4">
        <v>32000</v>
      </c>
    </row>
    <row r="1277" spans="1:11" x14ac:dyDescent="0.25">
      <c r="H1277" t="s">
        <v>17</v>
      </c>
      <c r="I1277" s="4">
        <f>SUM(I1272:I1276)</f>
        <v>307000</v>
      </c>
    </row>
    <row r="1279" spans="1:11" x14ac:dyDescent="0.25">
      <c r="A1279" s="1" t="s">
        <v>0</v>
      </c>
      <c r="B1279" s="1" t="s">
        <v>1</v>
      </c>
      <c r="C1279" s="1" t="s">
        <v>2</v>
      </c>
      <c r="D1279" s="1" t="s">
        <v>3</v>
      </c>
      <c r="E1279" s="1" t="s">
        <v>4</v>
      </c>
      <c r="F1279" s="2" t="s">
        <v>5</v>
      </c>
      <c r="G1279" s="9" t="s">
        <v>40</v>
      </c>
      <c r="H1279" s="1" t="s">
        <v>6</v>
      </c>
      <c r="I1279" s="2" t="s">
        <v>7</v>
      </c>
      <c r="J1279" s="1" t="s">
        <v>8</v>
      </c>
      <c r="K1279" s="1" t="s">
        <v>9</v>
      </c>
    </row>
    <row r="1280" spans="1:11" x14ac:dyDescent="0.25">
      <c r="A1280" s="3">
        <v>45354</v>
      </c>
      <c r="B1280" t="s">
        <v>10</v>
      </c>
      <c r="C1280" t="s">
        <v>648</v>
      </c>
      <c r="D1280" t="s">
        <v>12</v>
      </c>
      <c r="F1280" s="4">
        <v>54268</v>
      </c>
      <c r="H1280" t="s">
        <v>59</v>
      </c>
      <c r="I1280" s="4">
        <v>290000</v>
      </c>
    </row>
    <row r="1281" spans="1:11" x14ac:dyDescent="0.25">
      <c r="H1281" t="s">
        <v>649</v>
      </c>
      <c r="I1281" s="4">
        <v>20000</v>
      </c>
    </row>
    <row r="1282" spans="1:11" x14ac:dyDescent="0.25">
      <c r="H1282" t="s">
        <v>20</v>
      </c>
      <c r="I1282" s="4">
        <v>140000</v>
      </c>
    </row>
    <row r="1283" spans="1:11" x14ac:dyDescent="0.25">
      <c r="H1283" t="s">
        <v>48</v>
      </c>
      <c r="I1283" s="4">
        <v>80000</v>
      </c>
    </row>
    <row r="1284" spans="1:11" x14ac:dyDescent="0.25">
      <c r="H1284" t="s">
        <v>61</v>
      </c>
      <c r="I1284" s="4">
        <v>144000</v>
      </c>
    </row>
    <row r="1285" spans="1:11" x14ac:dyDescent="0.25">
      <c r="H1285" t="s">
        <v>650</v>
      </c>
      <c r="I1285" s="4">
        <v>120000</v>
      </c>
    </row>
    <row r="1286" spans="1:11" x14ac:dyDescent="0.25">
      <c r="H1286" t="s">
        <v>651</v>
      </c>
      <c r="I1286" s="4">
        <v>70000</v>
      </c>
    </row>
    <row r="1287" spans="1:11" x14ac:dyDescent="0.25">
      <c r="H1287" t="s">
        <v>653</v>
      </c>
      <c r="I1287" s="4">
        <v>20000</v>
      </c>
    </row>
    <row r="1288" spans="1:11" x14ac:dyDescent="0.25">
      <c r="H1288" t="s">
        <v>652</v>
      </c>
      <c r="I1288" s="4">
        <v>35000</v>
      </c>
    </row>
    <row r="1290" spans="1:11" x14ac:dyDescent="0.25">
      <c r="H1290" t="s">
        <v>17</v>
      </c>
      <c r="I1290" s="4">
        <f>SUM(I1280:I1289)</f>
        <v>919000</v>
      </c>
    </row>
    <row r="1292" spans="1:11" x14ac:dyDescent="0.25">
      <c r="A1292" s="1" t="s">
        <v>0</v>
      </c>
      <c r="B1292" s="1" t="s">
        <v>1</v>
      </c>
      <c r="C1292" s="1" t="s">
        <v>2</v>
      </c>
      <c r="D1292" s="1" t="s">
        <v>3</v>
      </c>
      <c r="E1292" s="1" t="s">
        <v>4</v>
      </c>
      <c r="F1292" s="2" t="s">
        <v>5</v>
      </c>
      <c r="G1292" s="9" t="s">
        <v>40</v>
      </c>
      <c r="H1292" s="1" t="s">
        <v>6</v>
      </c>
      <c r="I1292" s="2" t="s">
        <v>7</v>
      </c>
      <c r="J1292" s="1" t="s">
        <v>8</v>
      </c>
      <c r="K1292" s="1" t="s">
        <v>9</v>
      </c>
    </row>
    <row r="1293" spans="1:11" x14ac:dyDescent="0.25">
      <c r="A1293" s="3">
        <v>45355</v>
      </c>
      <c r="B1293" t="s">
        <v>409</v>
      </c>
      <c r="C1293" t="s">
        <v>820</v>
      </c>
      <c r="E1293">
        <v>2022</v>
      </c>
      <c r="F1293" s="4">
        <v>23720</v>
      </c>
      <c r="G1293" s="10" t="s">
        <v>821</v>
      </c>
      <c r="H1293" t="s">
        <v>14</v>
      </c>
    </row>
    <row r="1294" spans="1:11" x14ac:dyDescent="0.25">
      <c r="H1294" t="s">
        <v>822</v>
      </c>
    </row>
    <row r="1295" spans="1:11" x14ac:dyDescent="0.25">
      <c r="H1295" t="s">
        <v>170</v>
      </c>
    </row>
    <row r="1297" spans="1:11" x14ac:dyDescent="0.25">
      <c r="H1297" t="s">
        <v>17</v>
      </c>
    </row>
    <row r="1299" spans="1:11" x14ac:dyDescent="0.25">
      <c r="A1299" s="1" t="s">
        <v>0</v>
      </c>
      <c r="B1299" s="1" t="s">
        <v>1</v>
      </c>
      <c r="C1299" s="1" t="s">
        <v>2</v>
      </c>
      <c r="D1299" s="1" t="s">
        <v>3</v>
      </c>
      <c r="E1299" s="1" t="s">
        <v>4</v>
      </c>
      <c r="F1299" s="2" t="s">
        <v>5</v>
      </c>
      <c r="G1299" s="9" t="s">
        <v>40</v>
      </c>
      <c r="H1299" s="1" t="s">
        <v>6</v>
      </c>
      <c r="I1299" s="2" t="s">
        <v>7</v>
      </c>
      <c r="J1299" s="1" t="s">
        <v>8</v>
      </c>
      <c r="K1299" s="1" t="s">
        <v>9</v>
      </c>
    </row>
    <row r="1300" spans="1:11" x14ac:dyDescent="0.25">
      <c r="A1300" s="3">
        <v>45355</v>
      </c>
      <c r="B1300" t="s">
        <v>201</v>
      </c>
      <c r="C1300" t="s">
        <v>823</v>
      </c>
      <c r="E1300">
        <v>2023</v>
      </c>
      <c r="F1300" s="4">
        <v>14420</v>
      </c>
      <c r="G1300" s="10" t="s">
        <v>824</v>
      </c>
      <c r="H1300" t="s">
        <v>825</v>
      </c>
    </row>
    <row r="1301" spans="1:11" x14ac:dyDescent="0.25">
      <c r="H1301" t="s">
        <v>822</v>
      </c>
    </row>
    <row r="1302" spans="1:11" x14ac:dyDescent="0.25">
      <c r="H1302" t="s">
        <v>826</v>
      </c>
    </row>
    <row r="1304" spans="1:11" x14ac:dyDescent="0.25">
      <c r="H1304" t="s">
        <v>17</v>
      </c>
    </row>
    <row r="1306" spans="1:11" x14ac:dyDescent="0.25">
      <c r="A1306" s="1" t="s">
        <v>0</v>
      </c>
      <c r="B1306" s="1" t="s">
        <v>1</v>
      </c>
      <c r="C1306" s="1" t="s">
        <v>2</v>
      </c>
      <c r="D1306" s="1" t="s">
        <v>3</v>
      </c>
      <c r="E1306" s="1" t="s">
        <v>4</v>
      </c>
      <c r="F1306" s="2" t="s">
        <v>5</v>
      </c>
      <c r="G1306" s="9" t="s">
        <v>40</v>
      </c>
      <c r="H1306" s="1" t="s">
        <v>6</v>
      </c>
      <c r="I1306" s="2" t="s">
        <v>7</v>
      </c>
      <c r="J1306" s="1" t="s">
        <v>8</v>
      </c>
      <c r="K1306" s="1" t="s">
        <v>9</v>
      </c>
    </row>
    <row r="1307" spans="1:11" x14ac:dyDescent="0.25">
      <c r="A1307" s="3">
        <v>45356</v>
      </c>
      <c r="B1307" t="s">
        <v>827</v>
      </c>
      <c r="C1307" t="s">
        <v>828</v>
      </c>
      <c r="D1307" t="s">
        <v>544</v>
      </c>
      <c r="E1307">
        <v>2021</v>
      </c>
      <c r="G1307" s="10" t="s">
        <v>829</v>
      </c>
      <c r="H1307" t="s">
        <v>830</v>
      </c>
    </row>
    <row r="1309" spans="1:11" x14ac:dyDescent="0.25">
      <c r="H1309" t="s">
        <v>17</v>
      </c>
    </row>
    <row r="1311" spans="1:11" x14ac:dyDescent="0.25">
      <c r="A1311" s="1" t="s">
        <v>0</v>
      </c>
      <c r="B1311" s="1" t="s">
        <v>1</v>
      </c>
      <c r="C1311" s="1" t="s">
        <v>2</v>
      </c>
      <c r="D1311" s="1" t="s">
        <v>3</v>
      </c>
      <c r="E1311" s="1" t="s">
        <v>4</v>
      </c>
      <c r="F1311" s="2" t="s">
        <v>5</v>
      </c>
      <c r="G1311" s="9" t="s">
        <v>40</v>
      </c>
      <c r="H1311" s="1" t="s">
        <v>6</v>
      </c>
      <c r="I1311" s="2" t="s">
        <v>7</v>
      </c>
      <c r="J1311" s="1" t="s">
        <v>8</v>
      </c>
      <c r="K1311" s="1" t="s">
        <v>9</v>
      </c>
    </row>
    <row r="1312" spans="1:11" x14ac:dyDescent="0.25">
      <c r="A1312" s="3">
        <v>45356</v>
      </c>
      <c r="B1312" t="s">
        <v>654</v>
      </c>
      <c r="C1312" t="s">
        <v>655</v>
      </c>
      <c r="D1312" t="s">
        <v>19</v>
      </c>
      <c r="F1312" s="4">
        <v>22290</v>
      </c>
      <c r="G1312" s="10" t="s">
        <v>656</v>
      </c>
      <c r="H1312" t="s">
        <v>657</v>
      </c>
    </row>
    <row r="1313" spans="1:11" x14ac:dyDescent="0.25">
      <c r="H1313" t="s">
        <v>658</v>
      </c>
    </row>
    <row r="1314" spans="1:11" x14ac:dyDescent="0.25">
      <c r="H1314" t="s">
        <v>659</v>
      </c>
    </row>
    <row r="1315" spans="1:11" x14ac:dyDescent="0.25">
      <c r="I1315" s="4">
        <v>160000</v>
      </c>
    </row>
    <row r="1316" spans="1:11" x14ac:dyDescent="0.25">
      <c r="H1316" t="s">
        <v>17</v>
      </c>
    </row>
    <row r="1318" spans="1:11" x14ac:dyDescent="0.25">
      <c r="A1318" s="1" t="s">
        <v>0</v>
      </c>
      <c r="B1318" s="1" t="s">
        <v>1</v>
      </c>
      <c r="C1318" s="1" t="s">
        <v>2</v>
      </c>
      <c r="D1318" s="1" t="s">
        <v>3</v>
      </c>
      <c r="E1318" s="1" t="s">
        <v>4</v>
      </c>
      <c r="F1318" s="2" t="s">
        <v>5</v>
      </c>
      <c r="G1318" s="9" t="s">
        <v>40</v>
      </c>
      <c r="H1318" s="1" t="s">
        <v>6</v>
      </c>
      <c r="I1318" s="2" t="s">
        <v>7</v>
      </c>
      <c r="J1318" s="1" t="s">
        <v>8</v>
      </c>
      <c r="K1318" s="1" t="s">
        <v>9</v>
      </c>
    </row>
    <row r="1319" spans="1:11" x14ac:dyDescent="0.25">
      <c r="A1319" s="3">
        <v>45356</v>
      </c>
      <c r="B1319" t="s">
        <v>418</v>
      </c>
      <c r="C1319" t="s">
        <v>660</v>
      </c>
      <c r="F1319" s="4">
        <v>61091</v>
      </c>
      <c r="H1319" t="s">
        <v>661</v>
      </c>
    </row>
    <row r="1320" spans="1:11" x14ac:dyDescent="0.25">
      <c r="H1320" t="s">
        <v>16</v>
      </c>
    </row>
    <row r="1322" spans="1:11" x14ac:dyDescent="0.25">
      <c r="H1322" t="s">
        <v>17</v>
      </c>
      <c r="I1322" s="4">
        <v>273000</v>
      </c>
    </row>
    <row r="1324" spans="1:11" x14ac:dyDescent="0.25">
      <c r="A1324" s="1" t="s">
        <v>0</v>
      </c>
      <c r="B1324" s="1" t="s">
        <v>1</v>
      </c>
      <c r="C1324" s="1" t="s">
        <v>2</v>
      </c>
      <c r="D1324" s="1" t="s">
        <v>3</v>
      </c>
      <c r="E1324" s="1" t="s">
        <v>4</v>
      </c>
      <c r="F1324" s="2" t="s">
        <v>5</v>
      </c>
      <c r="G1324" s="9" t="s">
        <v>40</v>
      </c>
      <c r="H1324" s="1" t="s">
        <v>6</v>
      </c>
      <c r="I1324" s="2" t="s">
        <v>7</v>
      </c>
      <c r="J1324" s="1" t="s">
        <v>8</v>
      </c>
      <c r="K1324" s="1" t="s">
        <v>9</v>
      </c>
    </row>
    <row r="1325" spans="1:11" x14ac:dyDescent="0.25">
      <c r="A1325" s="3">
        <v>45357</v>
      </c>
      <c r="B1325" t="s">
        <v>85</v>
      </c>
      <c r="C1325" t="s">
        <v>662</v>
      </c>
      <c r="D1325" t="s">
        <v>663</v>
      </c>
      <c r="E1325">
        <v>2023</v>
      </c>
      <c r="F1325" s="4">
        <v>10787</v>
      </c>
      <c r="G1325" s="10" t="s">
        <v>664</v>
      </c>
      <c r="H1325" t="s">
        <v>14</v>
      </c>
      <c r="I1325" s="4">
        <v>222000</v>
      </c>
    </row>
    <row r="1326" spans="1:11" x14ac:dyDescent="0.25">
      <c r="H1326" t="s">
        <v>665</v>
      </c>
      <c r="I1326" s="4">
        <v>60000</v>
      </c>
    </row>
    <row r="1327" spans="1:11" x14ac:dyDescent="0.25">
      <c r="H1327" t="s">
        <v>15</v>
      </c>
      <c r="I1327" s="4">
        <v>46000</v>
      </c>
    </row>
    <row r="1329" spans="1:11" x14ac:dyDescent="0.25">
      <c r="H1329" t="s">
        <v>17</v>
      </c>
      <c r="I1329" s="4">
        <f>SUM(I1325:I1328)</f>
        <v>328000</v>
      </c>
    </row>
    <row r="1331" spans="1:11" x14ac:dyDescent="0.25">
      <c r="A1331" s="1" t="s">
        <v>0</v>
      </c>
      <c r="B1331" s="1" t="s">
        <v>1</v>
      </c>
      <c r="C1331" s="1" t="s">
        <v>2</v>
      </c>
      <c r="D1331" s="1" t="s">
        <v>3</v>
      </c>
      <c r="E1331" s="1" t="s">
        <v>4</v>
      </c>
      <c r="F1331" s="2" t="s">
        <v>5</v>
      </c>
      <c r="G1331" s="9" t="s">
        <v>40</v>
      </c>
      <c r="H1331" s="1" t="s">
        <v>6</v>
      </c>
      <c r="I1331" s="2" t="s">
        <v>7</v>
      </c>
      <c r="J1331" s="1" t="s">
        <v>8</v>
      </c>
      <c r="K1331" s="1" t="s">
        <v>9</v>
      </c>
    </row>
    <row r="1332" spans="1:11" x14ac:dyDescent="0.25">
      <c r="A1332" s="3">
        <v>45357</v>
      </c>
      <c r="B1332" t="s">
        <v>588</v>
      </c>
      <c r="C1332" t="s">
        <v>589</v>
      </c>
      <c r="D1332" t="s">
        <v>26</v>
      </c>
      <c r="F1332" s="4">
        <v>51028</v>
      </c>
      <c r="G1332" s="10" t="s">
        <v>666</v>
      </c>
      <c r="H1332" t="s">
        <v>667</v>
      </c>
    </row>
    <row r="1333" spans="1:11" x14ac:dyDescent="0.25">
      <c r="H1333" t="s">
        <v>668</v>
      </c>
    </row>
    <row r="1334" spans="1:11" x14ac:dyDescent="0.25">
      <c r="H1334" t="s">
        <v>16</v>
      </c>
    </row>
    <row r="1336" spans="1:11" x14ac:dyDescent="0.25">
      <c r="H1336" t="s">
        <v>17</v>
      </c>
    </row>
    <row r="1338" spans="1:11" x14ac:dyDescent="0.25">
      <c r="A1338" s="1" t="s">
        <v>0</v>
      </c>
      <c r="B1338" s="1" t="s">
        <v>1</v>
      </c>
      <c r="C1338" s="1" t="s">
        <v>2</v>
      </c>
      <c r="D1338" s="1" t="s">
        <v>3</v>
      </c>
      <c r="E1338" s="1" t="s">
        <v>4</v>
      </c>
      <c r="F1338" s="2" t="s">
        <v>5</v>
      </c>
      <c r="G1338" s="9" t="s">
        <v>40</v>
      </c>
      <c r="H1338" s="1" t="s">
        <v>6</v>
      </c>
      <c r="I1338" s="2" t="s">
        <v>7</v>
      </c>
      <c r="J1338" s="1" t="s">
        <v>8</v>
      </c>
      <c r="K1338" s="1" t="s">
        <v>9</v>
      </c>
    </row>
    <row r="1339" spans="1:11" x14ac:dyDescent="0.25">
      <c r="A1339" s="3">
        <v>45357</v>
      </c>
      <c r="B1339" t="s">
        <v>669</v>
      </c>
      <c r="C1339" t="s">
        <v>377</v>
      </c>
      <c r="D1339" t="s">
        <v>26</v>
      </c>
      <c r="E1339">
        <v>2012</v>
      </c>
      <c r="F1339" s="4">
        <v>68784</v>
      </c>
      <c r="G1339" s="10" t="s">
        <v>670</v>
      </c>
      <c r="H1339" t="s">
        <v>671</v>
      </c>
    </row>
    <row r="1340" spans="1:11" x14ac:dyDescent="0.25">
      <c r="H1340" t="s">
        <v>672</v>
      </c>
    </row>
    <row r="1341" spans="1:11" x14ac:dyDescent="0.25">
      <c r="H1341" t="s">
        <v>16</v>
      </c>
    </row>
    <row r="1343" spans="1:11" x14ac:dyDescent="0.25">
      <c r="H1343" t="s">
        <v>17</v>
      </c>
    </row>
    <row r="1345" spans="1:11" x14ac:dyDescent="0.25">
      <c r="A1345" s="1" t="s">
        <v>0</v>
      </c>
      <c r="B1345" s="1" t="s">
        <v>1</v>
      </c>
      <c r="C1345" s="1" t="s">
        <v>2</v>
      </c>
      <c r="D1345" s="1" t="s">
        <v>3</v>
      </c>
      <c r="E1345" s="1" t="s">
        <v>4</v>
      </c>
      <c r="F1345" s="2" t="s">
        <v>5</v>
      </c>
      <c r="G1345" s="9" t="s">
        <v>40</v>
      </c>
      <c r="H1345" s="1" t="s">
        <v>6</v>
      </c>
      <c r="I1345" s="2" t="s">
        <v>7</v>
      </c>
      <c r="J1345" s="1" t="s">
        <v>8</v>
      </c>
      <c r="K1345" s="1" t="s">
        <v>9</v>
      </c>
    </row>
    <row r="1346" spans="1:11" x14ac:dyDescent="0.25">
      <c r="A1346" s="3">
        <v>45357</v>
      </c>
      <c r="B1346" t="s">
        <v>673</v>
      </c>
      <c r="C1346" t="s">
        <v>674</v>
      </c>
      <c r="D1346" t="s">
        <v>31</v>
      </c>
      <c r="F1346" s="4">
        <v>33416</v>
      </c>
      <c r="G1346" s="10" t="s">
        <v>675</v>
      </c>
      <c r="H1346" t="s">
        <v>59</v>
      </c>
      <c r="I1346" s="4">
        <v>220000</v>
      </c>
    </row>
    <row r="1347" spans="1:11" x14ac:dyDescent="0.25">
      <c r="H1347" t="s">
        <v>14</v>
      </c>
      <c r="I1347" s="4">
        <v>80000</v>
      </c>
    </row>
    <row r="1348" spans="1:11" x14ac:dyDescent="0.25">
      <c r="H1348" t="s">
        <v>15</v>
      </c>
      <c r="I1348" s="4">
        <v>15000</v>
      </c>
    </row>
    <row r="1349" spans="1:11" x14ac:dyDescent="0.25">
      <c r="H1349" t="s">
        <v>33</v>
      </c>
      <c r="I1349" s="4">
        <v>20000</v>
      </c>
    </row>
    <row r="1351" spans="1:11" x14ac:dyDescent="0.25">
      <c r="H1351" t="s">
        <v>17</v>
      </c>
      <c r="I1351" s="4">
        <f>SUM(I1346:I1350)</f>
        <v>335000</v>
      </c>
    </row>
    <row r="1353" spans="1:11" x14ac:dyDescent="0.25">
      <c r="A1353" s="1" t="s">
        <v>0</v>
      </c>
      <c r="B1353" s="1" t="s">
        <v>1</v>
      </c>
      <c r="C1353" s="1" t="s">
        <v>2</v>
      </c>
      <c r="D1353" s="1" t="s">
        <v>3</v>
      </c>
      <c r="E1353" s="1" t="s">
        <v>4</v>
      </c>
      <c r="F1353" s="2" t="s">
        <v>5</v>
      </c>
      <c r="G1353" s="9" t="s">
        <v>40</v>
      </c>
      <c r="H1353" s="1" t="s">
        <v>6</v>
      </c>
      <c r="I1353" s="2" t="s">
        <v>7</v>
      </c>
      <c r="J1353" s="1" t="s">
        <v>8</v>
      </c>
      <c r="K1353" s="1" t="s">
        <v>9</v>
      </c>
    </row>
    <row r="1354" spans="1:11" x14ac:dyDescent="0.25">
      <c r="A1354" s="3">
        <v>45358</v>
      </c>
      <c r="B1354" t="s">
        <v>676</v>
      </c>
      <c r="C1354" t="s">
        <v>677</v>
      </c>
      <c r="D1354" t="s">
        <v>19</v>
      </c>
      <c r="F1354" s="4">
        <v>41873</v>
      </c>
      <c r="G1354" s="10" t="s">
        <v>678</v>
      </c>
      <c r="H1354" t="s">
        <v>679</v>
      </c>
      <c r="I1354" s="4">
        <v>144000</v>
      </c>
    </row>
    <row r="1355" spans="1:11" x14ac:dyDescent="0.25">
      <c r="H1355" t="s">
        <v>15</v>
      </c>
      <c r="I1355" s="4">
        <v>46000</v>
      </c>
    </row>
    <row r="1356" spans="1:11" x14ac:dyDescent="0.25">
      <c r="H1356" t="s">
        <v>16</v>
      </c>
      <c r="I1356" s="4">
        <v>30000</v>
      </c>
    </row>
    <row r="1358" spans="1:11" x14ac:dyDescent="0.25">
      <c r="H1358" t="s">
        <v>17</v>
      </c>
      <c r="I1358" s="4">
        <f>SUM(I1354:I1357)</f>
        <v>220000</v>
      </c>
    </row>
    <row r="1360" spans="1:11" x14ac:dyDescent="0.25">
      <c r="A1360" s="1" t="s">
        <v>0</v>
      </c>
      <c r="B1360" s="1" t="s">
        <v>1</v>
      </c>
      <c r="C1360" s="1" t="s">
        <v>2</v>
      </c>
      <c r="D1360" s="1" t="s">
        <v>3</v>
      </c>
      <c r="E1360" s="1" t="s">
        <v>4</v>
      </c>
      <c r="F1360" s="2" t="s">
        <v>5</v>
      </c>
      <c r="G1360" s="9" t="s">
        <v>40</v>
      </c>
      <c r="H1360" s="1" t="s">
        <v>6</v>
      </c>
      <c r="I1360" s="2" t="s">
        <v>7</v>
      </c>
      <c r="J1360" s="1" t="s">
        <v>8</v>
      </c>
      <c r="K1360" s="1" t="s">
        <v>9</v>
      </c>
    </row>
    <row r="1361" spans="1:11" x14ac:dyDescent="0.25">
      <c r="A1361" s="3">
        <v>45358</v>
      </c>
      <c r="B1361" t="s">
        <v>10</v>
      </c>
      <c r="C1361" t="s">
        <v>680</v>
      </c>
      <c r="D1361" t="s">
        <v>12</v>
      </c>
      <c r="F1361" s="4">
        <v>83282</v>
      </c>
      <c r="G1361" s="10" t="s">
        <v>681</v>
      </c>
      <c r="H1361" t="s">
        <v>682</v>
      </c>
      <c r="I1361" s="4">
        <v>150000</v>
      </c>
    </row>
    <row r="1362" spans="1:11" x14ac:dyDescent="0.25">
      <c r="H1362" t="s">
        <v>571</v>
      </c>
      <c r="I1362" s="4">
        <v>75000</v>
      </c>
    </row>
    <row r="1363" spans="1:11" x14ac:dyDescent="0.25">
      <c r="H1363" t="s">
        <v>59</v>
      </c>
      <c r="I1363" s="4">
        <v>320000</v>
      </c>
    </row>
    <row r="1364" spans="1:11" x14ac:dyDescent="0.25">
      <c r="H1364" t="s">
        <v>50</v>
      </c>
      <c r="I1364" s="4">
        <v>105000</v>
      </c>
    </row>
    <row r="1365" spans="1:11" x14ac:dyDescent="0.25">
      <c r="H1365" t="s">
        <v>683</v>
      </c>
      <c r="I1365" s="4">
        <v>15000</v>
      </c>
    </row>
    <row r="1366" spans="1:11" x14ac:dyDescent="0.25">
      <c r="H1366" t="s">
        <v>14</v>
      </c>
      <c r="I1366" s="4">
        <v>168000</v>
      </c>
    </row>
    <row r="1367" spans="1:11" x14ac:dyDescent="0.25">
      <c r="H1367" t="s">
        <v>15</v>
      </c>
      <c r="I1367" s="4">
        <v>46000</v>
      </c>
    </row>
    <row r="1368" spans="1:11" x14ac:dyDescent="0.25">
      <c r="H1368" t="s">
        <v>33</v>
      </c>
      <c r="I1368" s="4">
        <v>20000</v>
      </c>
    </row>
    <row r="1370" spans="1:11" x14ac:dyDescent="0.25">
      <c r="H1370" t="s">
        <v>17</v>
      </c>
      <c r="I1370" s="4">
        <f>SUM(I1361:I1369)</f>
        <v>899000</v>
      </c>
    </row>
    <row r="1372" spans="1:11" x14ac:dyDescent="0.25">
      <c r="A1372" s="1" t="s">
        <v>0</v>
      </c>
      <c r="B1372" s="1" t="s">
        <v>1</v>
      </c>
      <c r="C1372" s="1" t="s">
        <v>2</v>
      </c>
      <c r="D1372" s="1" t="s">
        <v>3</v>
      </c>
      <c r="E1372" s="1" t="s">
        <v>4</v>
      </c>
      <c r="F1372" s="2" t="s">
        <v>5</v>
      </c>
      <c r="G1372" s="9" t="s">
        <v>40</v>
      </c>
      <c r="H1372" s="1" t="s">
        <v>6</v>
      </c>
      <c r="I1372" s="2" t="s">
        <v>7</v>
      </c>
      <c r="J1372" s="1" t="s">
        <v>8</v>
      </c>
      <c r="K1372" s="1" t="s">
        <v>9</v>
      </c>
    </row>
    <row r="1373" spans="1:11" x14ac:dyDescent="0.25">
      <c r="A1373" s="3">
        <v>45358</v>
      </c>
      <c r="B1373" t="s">
        <v>10</v>
      </c>
      <c r="C1373" t="s">
        <v>684</v>
      </c>
      <c r="D1373" t="s">
        <v>12</v>
      </c>
      <c r="F1373" s="4">
        <v>36280</v>
      </c>
      <c r="H1373" t="s">
        <v>14</v>
      </c>
      <c r="I1373" s="4">
        <v>273000</v>
      </c>
    </row>
    <row r="1374" spans="1:11" x14ac:dyDescent="0.25">
      <c r="H1374" t="s">
        <v>627</v>
      </c>
      <c r="I1374" s="4">
        <v>135000</v>
      </c>
    </row>
    <row r="1375" spans="1:11" x14ac:dyDescent="0.25">
      <c r="H1375" t="s">
        <v>20</v>
      </c>
      <c r="I1375" s="4">
        <v>100000</v>
      </c>
    </row>
    <row r="1376" spans="1:11" x14ac:dyDescent="0.25">
      <c r="H1376" t="s">
        <v>685</v>
      </c>
      <c r="I1376" s="4">
        <v>25000</v>
      </c>
    </row>
    <row r="1378" spans="1:11" x14ac:dyDescent="0.25">
      <c r="H1378" t="s">
        <v>17</v>
      </c>
      <c r="I1378" s="4">
        <f>SUM(I1373:I1377)</f>
        <v>533000</v>
      </c>
    </row>
    <row r="1380" spans="1:11" x14ac:dyDescent="0.25">
      <c r="A1380" s="1" t="s">
        <v>0</v>
      </c>
      <c r="B1380" s="1" t="s">
        <v>1</v>
      </c>
      <c r="C1380" s="1" t="s">
        <v>2</v>
      </c>
      <c r="D1380" s="1" t="s">
        <v>3</v>
      </c>
      <c r="E1380" s="1" t="s">
        <v>4</v>
      </c>
      <c r="F1380" s="2" t="s">
        <v>5</v>
      </c>
      <c r="G1380" s="9" t="s">
        <v>40</v>
      </c>
      <c r="H1380" s="1" t="s">
        <v>6</v>
      </c>
      <c r="I1380" s="2" t="s">
        <v>7</v>
      </c>
      <c r="J1380" s="1" t="s">
        <v>8</v>
      </c>
      <c r="K1380" s="1" t="s">
        <v>9</v>
      </c>
    </row>
    <row r="1381" spans="1:11" x14ac:dyDescent="0.25">
      <c r="A1381" s="3">
        <v>45512</v>
      </c>
      <c r="B1381" t="s">
        <v>10</v>
      </c>
      <c r="C1381" t="s">
        <v>686</v>
      </c>
      <c r="D1381" t="s">
        <v>26</v>
      </c>
      <c r="F1381" s="4">
        <v>45503</v>
      </c>
      <c r="G1381" s="10" t="s">
        <v>687</v>
      </c>
      <c r="H1381" t="s">
        <v>688</v>
      </c>
      <c r="I1381" s="4">
        <v>350000</v>
      </c>
    </row>
    <row r="1382" spans="1:11" x14ac:dyDescent="0.25">
      <c r="H1382" t="s">
        <v>689</v>
      </c>
      <c r="I1382" s="4">
        <v>80000</v>
      </c>
    </row>
    <row r="1383" spans="1:11" x14ac:dyDescent="0.25">
      <c r="H1383" t="s">
        <v>693</v>
      </c>
      <c r="I1383" s="4">
        <v>120000</v>
      </c>
    </row>
    <row r="1384" spans="1:11" x14ac:dyDescent="0.25">
      <c r="H1384" t="s">
        <v>690</v>
      </c>
      <c r="I1384" s="4">
        <v>240000</v>
      </c>
    </row>
    <row r="1385" spans="1:11" x14ac:dyDescent="0.25">
      <c r="H1385" t="s">
        <v>691</v>
      </c>
      <c r="I1385" s="4">
        <v>160000</v>
      </c>
    </row>
    <row r="1386" spans="1:11" x14ac:dyDescent="0.25">
      <c r="H1386" t="s">
        <v>692</v>
      </c>
      <c r="I1386" s="4">
        <v>60000</v>
      </c>
    </row>
    <row r="1388" spans="1:11" x14ac:dyDescent="0.25">
      <c r="H1388" t="s">
        <v>17</v>
      </c>
      <c r="I1388" s="4">
        <f>SUM(I1381:I1387)</f>
        <v>1010000</v>
      </c>
    </row>
    <row r="1390" spans="1:11" x14ac:dyDescent="0.25">
      <c r="A1390" s="1" t="s">
        <v>0</v>
      </c>
      <c r="B1390" s="1" t="s">
        <v>1</v>
      </c>
      <c r="C1390" s="1" t="s">
        <v>2</v>
      </c>
      <c r="D1390" s="1" t="s">
        <v>3</v>
      </c>
      <c r="E1390" s="1" t="s">
        <v>4</v>
      </c>
      <c r="F1390" s="2" t="s">
        <v>5</v>
      </c>
      <c r="G1390" s="9" t="s">
        <v>40</v>
      </c>
      <c r="H1390" s="1" t="s">
        <v>6</v>
      </c>
      <c r="I1390" s="2" t="s">
        <v>7</v>
      </c>
      <c r="J1390" s="1" t="s">
        <v>8</v>
      </c>
      <c r="K1390" s="1" t="s">
        <v>9</v>
      </c>
    </row>
    <row r="1391" spans="1:11" x14ac:dyDescent="0.25">
      <c r="A1391" s="3">
        <v>45359</v>
      </c>
      <c r="B1391" t="s">
        <v>694</v>
      </c>
      <c r="C1391" t="s">
        <v>695</v>
      </c>
      <c r="D1391" t="s">
        <v>19</v>
      </c>
      <c r="G1391" s="10" t="s">
        <v>338</v>
      </c>
      <c r="H1391" t="s">
        <v>129</v>
      </c>
      <c r="I1391" s="4">
        <v>80000</v>
      </c>
    </row>
    <row r="1392" spans="1:11" x14ac:dyDescent="0.25">
      <c r="H1392" t="s">
        <v>696</v>
      </c>
      <c r="I1392" s="4">
        <v>70000</v>
      </c>
    </row>
    <row r="1393" spans="1:11" x14ac:dyDescent="0.25">
      <c r="H1393" t="s">
        <v>697</v>
      </c>
      <c r="I1393" s="4">
        <v>90000</v>
      </c>
    </row>
    <row r="1394" spans="1:11" x14ac:dyDescent="0.25">
      <c r="I1394" s="4">
        <v>10000</v>
      </c>
    </row>
    <row r="1396" spans="1:11" x14ac:dyDescent="0.25">
      <c r="H1396" t="s">
        <v>17</v>
      </c>
      <c r="I1396" s="4">
        <f>SUM(I1391:I1395)</f>
        <v>250000</v>
      </c>
    </row>
    <row r="1398" spans="1:11" x14ac:dyDescent="0.25">
      <c r="A1398" s="1" t="s">
        <v>0</v>
      </c>
      <c r="B1398" s="1" t="s">
        <v>1</v>
      </c>
      <c r="C1398" s="1" t="s">
        <v>2</v>
      </c>
      <c r="D1398" s="1" t="s">
        <v>3</v>
      </c>
      <c r="E1398" s="1" t="s">
        <v>4</v>
      </c>
      <c r="F1398" s="2" t="s">
        <v>5</v>
      </c>
      <c r="G1398" s="9" t="s">
        <v>40</v>
      </c>
      <c r="H1398" s="1" t="s">
        <v>6</v>
      </c>
      <c r="I1398" s="2" t="s">
        <v>7</v>
      </c>
      <c r="J1398" s="1" t="s">
        <v>8</v>
      </c>
      <c r="K1398" s="1" t="s">
        <v>9</v>
      </c>
    </row>
    <row r="1399" spans="1:11" x14ac:dyDescent="0.25">
      <c r="A1399" s="3">
        <v>45359</v>
      </c>
      <c r="B1399" t="s">
        <v>698</v>
      </c>
      <c r="C1399" t="s">
        <v>211</v>
      </c>
      <c r="D1399" t="s">
        <v>12</v>
      </c>
      <c r="F1399" s="4">
        <v>50737</v>
      </c>
      <c r="G1399" s="10" t="s">
        <v>699</v>
      </c>
      <c r="H1399" t="s">
        <v>37</v>
      </c>
      <c r="I1399" s="4">
        <v>290000</v>
      </c>
    </row>
    <row r="1400" spans="1:11" x14ac:dyDescent="0.25">
      <c r="H1400" t="s">
        <v>306</v>
      </c>
      <c r="I1400" s="4">
        <v>150000</v>
      </c>
    </row>
    <row r="1401" spans="1:11" x14ac:dyDescent="0.25">
      <c r="H1401" t="s">
        <v>15</v>
      </c>
      <c r="I1401" s="4">
        <v>46000</v>
      </c>
    </row>
    <row r="1402" spans="1:11" x14ac:dyDescent="0.25">
      <c r="H1402" t="s">
        <v>700</v>
      </c>
      <c r="I1402" s="4">
        <v>70000</v>
      </c>
    </row>
    <row r="1403" spans="1:11" x14ac:dyDescent="0.25">
      <c r="H1403" t="s">
        <v>701</v>
      </c>
      <c r="I1403" s="4">
        <v>200000</v>
      </c>
    </row>
    <row r="1404" spans="1:11" x14ac:dyDescent="0.25">
      <c r="H1404" t="s">
        <v>702</v>
      </c>
      <c r="I1404" s="4">
        <v>45000</v>
      </c>
    </row>
    <row r="1405" spans="1:11" x14ac:dyDescent="0.25">
      <c r="H1405" t="s">
        <v>703</v>
      </c>
      <c r="I1405" s="4">
        <v>50000</v>
      </c>
    </row>
    <row r="1406" spans="1:11" x14ac:dyDescent="0.25">
      <c r="H1406" t="s">
        <v>33</v>
      </c>
      <c r="I1406" s="4">
        <v>20000</v>
      </c>
    </row>
    <row r="1407" spans="1:11" x14ac:dyDescent="0.25">
      <c r="H1407" t="s">
        <v>704</v>
      </c>
      <c r="I1407" s="4">
        <v>40000</v>
      </c>
    </row>
    <row r="1408" spans="1:11" x14ac:dyDescent="0.25">
      <c r="H1408" t="s">
        <v>705</v>
      </c>
      <c r="I1408" s="4">
        <v>25000</v>
      </c>
    </row>
    <row r="1410" spans="1:11" x14ac:dyDescent="0.25">
      <c r="H1410" t="s">
        <v>17</v>
      </c>
      <c r="I1410" s="4">
        <f>SUM(I1399:I1409)</f>
        <v>936000</v>
      </c>
    </row>
    <row r="1412" spans="1:11" x14ac:dyDescent="0.25">
      <c r="A1412" s="1" t="s">
        <v>0</v>
      </c>
      <c r="B1412" s="1" t="s">
        <v>1</v>
      </c>
      <c r="C1412" s="1" t="s">
        <v>2</v>
      </c>
      <c r="D1412" s="1" t="s">
        <v>3</v>
      </c>
      <c r="E1412" s="1" t="s">
        <v>4</v>
      </c>
      <c r="F1412" s="2" t="s">
        <v>5</v>
      </c>
      <c r="G1412" s="9" t="s">
        <v>40</v>
      </c>
      <c r="H1412" s="1" t="s">
        <v>6</v>
      </c>
      <c r="I1412" s="2" t="s">
        <v>7</v>
      </c>
      <c r="J1412" s="1" t="s">
        <v>8</v>
      </c>
      <c r="K1412" s="1" t="s">
        <v>9</v>
      </c>
    </row>
    <row r="1413" spans="1:11" x14ac:dyDescent="0.25">
      <c r="A1413" s="3">
        <v>45360</v>
      </c>
      <c r="B1413" t="s">
        <v>363</v>
      </c>
      <c r="C1413" t="s">
        <v>706</v>
      </c>
      <c r="D1413" t="s">
        <v>87</v>
      </c>
      <c r="F1413" s="4">
        <v>43387</v>
      </c>
      <c r="H1413" t="s">
        <v>37</v>
      </c>
      <c r="I1413" s="4">
        <v>250000</v>
      </c>
    </row>
    <row r="1414" spans="1:11" x14ac:dyDescent="0.25">
      <c r="H1414" t="s">
        <v>14</v>
      </c>
      <c r="I1414" s="4">
        <v>272000</v>
      </c>
    </row>
    <row r="1415" spans="1:11" x14ac:dyDescent="0.25">
      <c r="H1415" t="s">
        <v>15</v>
      </c>
      <c r="I1415" s="4">
        <v>46000</v>
      </c>
    </row>
    <row r="1416" spans="1:11" x14ac:dyDescent="0.25">
      <c r="H1416" t="s">
        <v>235</v>
      </c>
      <c r="I1416" s="4">
        <v>15000</v>
      </c>
    </row>
    <row r="1417" spans="1:11" x14ac:dyDescent="0.25">
      <c r="H1417" t="s">
        <v>693</v>
      </c>
      <c r="I1417" s="4">
        <v>250000</v>
      </c>
    </row>
    <row r="1419" spans="1:11" x14ac:dyDescent="0.25">
      <c r="H1419" t="s">
        <v>17</v>
      </c>
      <c r="I1419" s="4">
        <f>SUM(I1413:I1418)</f>
        <v>833000</v>
      </c>
    </row>
    <row r="1421" spans="1:11" x14ac:dyDescent="0.25">
      <c r="A1421" s="1" t="s">
        <v>0</v>
      </c>
      <c r="B1421" s="1" t="s">
        <v>1</v>
      </c>
      <c r="C1421" s="1" t="s">
        <v>2</v>
      </c>
      <c r="D1421" s="1" t="s">
        <v>3</v>
      </c>
      <c r="E1421" s="1" t="s">
        <v>4</v>
      </c>
      <c r="F1421" s="2" t="s">
        <v>5</v>
      </c>
      <c r="G1421" s="9" t="s">
        <v>40</v>
      </c>
      <c r="H1421" s="1" t="s">
        <v>6</v>
      </c>
      <c r="I1421" s="2" t="s">
        <v>7</v>
      </c>
      <c r="J1421" s="1" t="s">
        <v>8</v>
      </c>
      <c r="K1421" s="1" t="s">
        <v>9</v>
      </c>
    </row>
    <row r="1422" spans="1:11" x14ac:dyDescent="0.25">
      <c r="A1422" s="3">
        <v>45360</v>
      </c>
      <c r="B1422" t="s">
        <v>71</v>
      </c>
      <c r="C1422" t="s">
        <v>707</v>
      </c>
      <c r="F1422" s="4">
        <v>72697</v>
      </c>
      <c r="G1422" s="10" t="s">
        <v>708</v>
      </c>
      <c r="H1422" t="s">
        <v>59</v>
      </c>
      <c r="I1422" s="4">
        <v>250000</v>
      </c>
    </row>
    <row r="1423" spans="1:11" x14ac:dyDescent="0.25">
      <c r="H1423" t="s">
        <v>709</v>
      </c>
      <c r="I1423" s="4">
        <v>110000</v>
      </c>
    </row>
    <row r="1424" spans="1:11" x14ac:dyDescent="0.25">
      <c r="H1424" t="s">
        <v>33</v>
      </c>
      <c r="I1424" s="4">
        <v>20000</v>
      </c>
    </row>
    <row r="1425" spans="1:11" x14ac:dyDescent="0.25">
      <c r="H1425" t="s">
        <v>710</v>
      </c>
    </row>
    <row r="1426" spans="1:11" x14ac:dyDescent="0.25">
      <c r="H1426" t="s">
        <v>711</v>
      </c>
      <c r="I1426" s="4">
        <v>40000</v>
      </c>
    </row>
    <row r="1427" spans="1:11" x14ac:dyDescent="0.25">
      <c r="H1427" t="s">
        <v>14</v>
      </c>
      <c r="I1427" s="4">
        <v>120000</v>
      </c>
    </row>
    <row r="1428" spans="1:11" x14ac:dyDescent="0.25">
      <c r="H1428" t="s">
        <v>15</v>
      </c>
      <c r="I1428" s="4">
        <v>35000</v>
      </c>
    </row>
    <row r="1429" spans="1:11" x14ac:dyDescent="0.25">
      <c r="H1429" t="s">
        <v>50</v>
      </c>
      <c r="I1429" s="4">
        <v>45000</v>
      </c>
    </row>
    <row r="1431" spans="1:11" x14ac:dyDescent="0.25">
      <c r="H1431" t="s">
        <v>17</v>
      </c>
      <c r="I1431" s="4">
        <f>SUM(I1422:I1430)</f>
        <v>620000</v>
      </c>
    </row>
    <row r="1433" spans="1:11" x14ac:dyDescent="0.25">
      <c r="A1433" s="1" t="s">
        <v>0</v>
      </c>
      <c r="B1433" s="1" t="s">
        <v>1</v>
      </c>
      <c r="C1433" s="1" t="s">
        <v>2</v>
      </c>
      <c r="D1433" s="1" t="s">
        <v>3</v>
      </c>
      <c r="E1433" s="1" t="s">
        <v>4</v>
      </c>
      <c r="F1433" s="2" t="s">
        <v>5</v>
      </c>
      <c r="G1433" s="9" t="s">
        <v>40</v>
      </c>
      <c r="H1433" s="1" t="s">
        <v>6</v>
      </c>
      <c r="I1433" s="2" t="s">
        <v>7</v>
      </c>
      <c r="J1433" s="1" t="s">
        <v>8</v>
      </c>
      <c r="K1433" s="1" t="s">
        <v>9</v>
      </c>
    </row>
    <row r="1434" spans="1:11" x14ac:dyDescent="0.25">
      <c r="A1434" s="3">
        <v>45360</v>
      </c>
      <c r="B1434" t="s">
        <v>712</v>
      </c>
      <c r="C1434" t="s">
        <v>241</v>
      </c>
      <c r="D1434" t="s">
        <v>12</v>
      </c>
      <c r="F1434" s="4">
        <v>104026</v>
      </c>
      <c r="H1434" t="s">
        <v>627</v>
      </c>
      <c r="I1434" s="4">
        <v>120000</v>
      </c>
    </row>
    <row r="1435" spans="1:11" x14ac:dyDescent="0.25">
      <c r="H1435" t="s">
        <v>713</v>
      </c>
      <c r="I1435" s="4">
        <v>120000</v>
      </c>
    </row>
    <row r="1436" spans="1:11" x14ac:dyDescent="0.25">
      <c r="H1436" t="s">
        <v>714</v>
      </c>
      <c r="I1436" s="4">
        <v>40000</v>
      </c>
    </row>
    <row r="1437" spans="1:11" x14ac:dyDescent="0.25">
      <c r="H1437" t="s">
        <v>715</v>
      </c>
      <c r="I1437" s="4">
        <v>5000</v>
      </c>
    </row>
    <row r="1439" spans="1:11" x14ac:dyDescent="0.25">
      <c r="H1439" t="s">
        <v>17</v>
      </c>
      <c r="I1439" s="4">
        <f>SUM(I1434:I1438)</f>
        <v>285000</v>
      </c>
    </row>
    <row r="1441" spans="1:11" x14ac:dyDescent="0.25">
      <c r="A1441" s="1" t="s">
        <v>0</v>
      </c>
      <c r="B1441" s="1" t="s">
        <v>1</v>
      </c>
      <c r="C1441" s="1" t="s">
        <v>2</v>
      </c>
      <c r="D1441" s="1" t="s">
        <v>3</v>
      </c>
      <c r="E1441" s="1" t="s">
        <v>4</v>
      </c>
      <c r="F1441" s="2" t="s">
        <v>5</v>
      </c>
      <c r="G1441" s="9" t="s">
        <v>40</v>
      </c>
      <c r="H1441" s="1" t="s">
        <v>6</v>
      </c>
      <c r="I1441" s="2" t="s">
        <v>7</v>
      </c>
      <c r="J1441" s="1" t="s">
        <v>8</v>
      </c>
      <c r="K1441" s="1" t="s">
        <v>9</v>
      </c>
    </row>
    <row r="1442" spans="1:11" x14ac:dyDescent="0.25">
      <c r="A1442" s="3">
        <v>45360</v>
      </c>
      <c r="B1442" t="s">
        <v>716</v>
      </c>
      <c r="C1442" t="s">
        <v>620</v>
      </c>
      <c r="D1442" t="s">
        <v>19</v>
      </c>
      <c r="F1442" s="4">
        <v>52183</v>
      </c>
      <c r="H1442" t="s">
        <v>106</v>
      </c>
      <c r="I1442" s="4">
        <v>120000</v>
      </c>
    </row>
    <row r="1443" spans="1:11" x14ac:dyDescent="0.25">
      <c r="H1443" t="s">
        <v>33</v>
      </c>
      <c r="I1443" s="4">
        <v>20000</v>
      </c>
    </row>
    <row r="1445" spans="1:11" x14ac:dyDescent="0.25">
      <c r="H1445" t="s">
        <v>17</v>
      </c>
      <c r="I1445" s="4">
        <f>SUM(I1442:I1444)</f>
        <v>140000</v>
      </c>
    </row>
    <row r="1447" spans="1:11" x14ac:dyDescent="0.25">
      <c r="A1447" s="1" t="s">
        <v>0</v>
      </c>
      <c r="B1447" s="1" t="s">
        <v>1</v>
      </c>
      <c r="C1447" s="1" t="s">
        <v>2</v>
      </c>
      <c r="D1447" s="1" t="s">
        <v>3</v>
      </c>
      <c r="E1447" s="1" t="s">
        <v>4</v>
      </c>
      <c r="F1447" s="2" t="s">
        <v>5</v>
      </c>
      <c r="G1447" s="9" t="s">
        <v>40</v>
      </c>
      <c r="H1447" s="1" t="s">
        <v>6</v>
      </c>
      <c r="I1447" s="2" t="s">
        <v>7</v>
      </c>
      <c r="J1447" s="1" t="s">
        <v>8</v>
      </c>
      <c r="K1447" s="1" t="s">
        <v>9</v>
      </c>
    </row>
    <row r="1448" spans="1:11" x14ac:dyDescent="0.25">
      <c r="A1448" s="3">
        <v>45360</v>
      </c>
      <c r="B1448" t="s">
        <v>717</v>
      </c>
      <c r="C1448" t="s">
        <v>718</v>
      </c>
      <c r="D1448" t="s">
        <v>544</v>
      </c>
      <c r="F1448" s="4">
        <v>33736</v>
      </c>
      <c r="G1448" s="10" t="s">
        <v>719</v>
      </c>
      <c r="H1448" t="s">
        <v>720</v>
      </c>
      <c r="I1448" s="4">
        <v>60000</v>
      </c>
    </row>
    <row r="1449" spans="1:11" x14ac:dyDescent="0.25">
      <c r="H1449" t="s">
        <v>292</v>
      </c>
      <c r="I1449" s="4">
        <v>200000</v>
      </c>
    </row>
    <row r="1450" spans="1:11" x14ac:dyDescent="0.25">
      <c r="H1450" t="s">
        <v>721</v>
      </c>
    </row>
    <row r="1451" spans="1:11" x14ac:dyDescent="0.25">
      <c r="H1451" t="s">
        <v>722</v>
      </c>
    </row>
    <row r="1453" spans="1:11" x14ac:dyDescent="0.25">
      <c r="H1453" t="s">
        <v>17</v>
      </c>
      <c r="I1453" s="4">
        <f>SUM(I1448:I1452)</f>
        <v>260000</v>
      </c>
    </row>
    <row r="1455" spans="1:11" x14ac:dyDescent="0.25">
      <c r="A1455" s="1" t="s">
        <v>0</v>
      </c>
      <c r="B1455" s="1" t="s">
        <v>1</v>
      </c>
      <c r="C1455" s="1" t="s">
        <v>2</v>
      </c>
      <c r="D1455" s="1" t="s">
        <v>3</v>
      </c>
      <c r="E1455" s="1" t="s">
        <v>4</v>
      </c>
      <c r="F1455" s="2" t="s">
        <v>5</v>
      </c>
      <c r="G1455" s="9" t="s">
        <v>40</v>
      </c>
      <c r="H1455" s="1" t="s">
        <v>6</v>
      </c>
      <c r="I1455" s="2" t="s">
        <v>7</v>
      </c>
      <c r="J1455" s="1" t="s">
        <v>8</v>
      </c>
      <c r="K1455" s="1" t="s">
        <v>9</v>
      </c>
    </row>
    <row r="1456" spans="1:11" x14ac:dyDescent="0.25">
      <c r="A1456" s="3">
        <v>45360</v>
      </c>
      <c r="B1456" t="s">
        <v>498</v>
      </c>
      <c r="C1456" t="s">
        <v>831</v>
      </c>
      <c r="D1456" t="s">
        <v>12</v>
      </c>
      <c r="E1456">
        <v>2022</v>
      </c>
      <c r="G1456" s="10" t="s">
        <v>832</v>
      </c>
      <c r="H1456" t="s">
        <v>833</v>
      </c>
    </row>
    <row r="1458" spans="1:11" x14ac:dyDescent="0.25">
      <c r="H1458" t="s">
        <v>17</v>
      </c>
    </row>
    <row r="1460" spans="1:11" x14ac:dyDescent="0.25">
      <c r="A1460" s="1" t="s">
        <v>0</v>
      </c>
      <c r="B1460" s="1" t="s">
        <v>1</v>
      </c>
      <c r="C1460" s="1" t="s">
        <v>2</v>
      </c>
      <c r="D1460" s="1" t="s">
        <v>3</v>
      </c>
      <c r="E1460" s="1" t="s">
        <v>4</v>
      </c>
      <c r="F1460" s="2" t="s">
        <v>5</v>
      </c>
      <c r="G1460" s="9" t="s">
        <v>40</v>
      </c>
      <c r="H1460" s="1" t="s">
        <v>6</v>
      </c>
      <c r="I1460" s="2" t="s">
        <v>7</v>
      </c>
      <c r="J1460" s="1" t="s">
        <v>8</v>
      </c>
      <c r="K1460" s="1" t="s">
        <v>9</v>
      </c>
    </row>
    <row r="1461" spans="1:11" x14ac:dyDescent="0.25">
      <c r="A1461" s="3">
        <v>45362</v>
      </c>
      <c r="B1461" t="s">
        <v>723</v>
      </c>
      <c r="C1461" t="s">
        <v>724</v>
      </c>
      <c r="D1461" t="s">
        <v>19</v>
      </c>
      <c r="E1461">
        <v>2012</v>
      </c>
      <c r="F1461" s="4">
        <v>78439</v>
      </c>
      <c r="G1461" s="10" t="s">
        <v>725</v>
      </c>
      <c r="H1461" t="s">
        <v>59</v>
      </c>
      <c r="I1461" s="4">
        <v>220000</v>
      </c>
    </row>
    <row r="1462" spans="1:11" x14ac:dyDescent="0.25">
      <c r="H1462" t="s">
        <v>726</v>
      </c>
      <c r="I1462" s="4">
        <v>69000</v>
      </c>
    </row>
    <row r="1463" spans="1:11" x14ac:dyDescent="0.25">
      <c r="H1463" t="s">
        <v>15</v>
      </c>
      <c r="I1463" s="4">
        <v>18000</v>
      </c>
    </row>
    <row r="1464" spans="1:11" x14ac:dyDescent="0.25">
      <c r="H1464" t="s">
        <v>33</v>
      </c>
      <c r="I1464" s="4">
        <v>20000</v>
      </c>
    </row>
    <row r="1465" spans="1:11" x14ac:dyDescent="0.25">
      <c r="H1465" t="s">
        <v>727</v>
      </c>
      <c r="I1465" s="4">
        <v>155000</v>
      </c>
    </row>
    <row r="1466" spans="1:11" x14ac:dyDescent="0.25">
      <c r="H1466" t="s">
        <v>728</v>
      </c>
      <c r="I1466" s="4">
        <v>20000</v>
      </c>
    </row>
    <row r="1467" spans="1:11" x14ac:dyDescent="0.25">
      <c r="H1467" t="s">
        <v>50</v>
      </c>
      <c r="I1467" s="4">
        <v>35000</v>
      </c>
    </row>
    <row r="1468" spans="1:11" x14ac:dyDescent="0.25">
      <c r="H1468" t="s">
        <v>729</v>
      </c>
      <c r="I1468" s="4">
        <v>40000</v>
      </c>
    </row>
    <row r="1470" spans="1:11" x14ac:dyDescent="0.25">
      <c r="H1470" t="s">
        <v>17</v>
      </c>
      <c r="I1470" s="4">
        <f>SUM(I1461:I1469)</f>
        <v>577000</v>
      </c>
    </row>
    <row r="1472" spans="1:11" x14ac:dyDescent="0.25">
      <c r="A1472" s="1" t="s">
        <v>0</v>
      </c>
      <c r="B1472" s="1" t="s">
        <v>1</v>
      </c>
      <c r="C1472" s="1" t="s">
        <v>2</v>
      </c>
      <c r="D1472" s="1" t="s">
        <v>3</v>
      </c>
      <c r="E1472" s="1" t="s">
        <v>4</v>
      </c>
      <c r="F1472" s="2" t="s">
        <v>5</v>
      </c>
      <c r="G1472" s="9" t="s">
        <v>40</v>
      </c>
      <c r="H1472" s="1" t="s">
        <v>6</v>
      </c>
      <c r="I1472" s="2" t="s">
        <v>7</v>
      </c>
      <c r="J1472" s="1" t="s">
        <v>8</v>
      </c>
      <c r="K1472" s="1" t="s">
        <v>9</v>
      </c>
    </row>
    <row r="1473" spans="1:11" x14ac:dyDescent="0.25">
      <c r="A1473" s="3">
        <v>45362</v>
      </c>
      <c r="B1473" t="s">
        <v>834</v>
      </c>
      <c r="C1473" t="s">
        <v>835</v>
      </c>
      <c r="D1473" t="s">
        <v>836</v>
      </c>
      <c r="G1473" s="10" t="s">
        <v>837</v>
      </c>
      <c r="H1473" t="s">
        <v>59</v>
      </c>
    </row>
    <row r="1474" spans="1:11" x14ac:dyDescent="0.25">
      <c r="H1474" t="s">
        <v>838</v>
      </c>
    </row>
    <row r="1475" spans="1:11" x14ac:dyDescent="0.25">
      <c r="H1475" t="s">
        <v>839</v>
      </c>
    </row>
    <row r="1476" spans="1:11" x14ac:dyDescent="0.25">
      <c r="H1476" t="s">
        <v>840</v>
      </c>
    </row>
    <row r="1478" spans="1:11" x14ac:dyDescent="0.25">
      <c r="H1478" t="s">
        <v>17</v>
      </c>
    </row>
    <row r="1480" spans="1:11" x14ac:dyDescent="0.25">
      <c r="A1480" s="1" t="s">
        <v>0</v>
      </c>
      <c r="B1480" s="1" t="s">
        <v>1</v>
      </c>
      <c r="C1480" s="1" t="s">
        <v>2</v>
      </c>
      <c r="D1480" s="1" t="s">
        <v>3</v>
      </c>
      <c r="E1480" s="1" t="s">
        <v>4</v>
      </c>
      <c r="F1480" s="2" t="s">
        <v>5</v>
      </c>
      <c r="G1480" s="9" t="s">
        <v>40</v>
      </c>
      <c r="H1480" s="1" t="s">
        <v>6</v>
      </c>
      <c r="I1480" s="2" t="s">
        <v>7</v>
      </c>
      <c r="J1480" s="1" t="s">
        <v>8</v>
      </c>
      <c r="K1480" s="1" t="s">
        <v>9</v>
      </c>
    </row>
    <row r="1481" spans="1:11" x14ac:dyDescent="0.25">
      <c r="A1481" s="3">
        <v>45363</v>
      </c>
      <c r="B1481" t="s">
        <v>730</v>
      </c>
      <c r="C1481" t="s">
        <v>731</v>
      </c>
      <c r="E1481">
        <v>2017</v>
      </c>
      <c r="F1481" s="4">
        <v>27026</v>
      </c>
      <c r="G1481" s="10" t="s">
        <v>732</v>
      </c>
      <c r="H1481" t="s">
        <v>733</v>
      </c>
      <c r="I1481" s="4">
        <v>144000</v>
      </c>
    </row>
    <row r="1482" spans="1:11" x14ac:dyDescent="0.25">
      <c r="H1482" t="s">
        <v>15</v>
      </c>
      <c r="I1482" s="4">
        <v>46000</v>
      </c>
    </row>
    <row r="1483" spans="1:11" x14ac:dyDescent="0.25">
      <c r="H1483" t="s">
        <v>16</v>
      </c>
      <c r="I1483" s="4">
        <v>40000</v>
      </c>
    </row>
    <row r="1485" spans="1:11" x14ac:dyDescent="0.25">
      <c r="H1485" t="s">
        <v>17</v>
      </c>
      <c r="I1485" s="4">
        <f>SUM(I1481:I1484)</f>
        <v>230000</v>
      </c>
    </row>
    <row r="1487" spans="1:11" x14ac:dyDescent="0.25">
      <c r="A1487" s="1" t="s">
        <v>0</v>
      </c>
      <c r="B1487" s="1" t="s">
        <v>1</v>
      </c>
      <c r="C1487" s="1" t="s">
        <v>2</v>
      </c>
      <c r="D1487" s="1" t="s">
        <v>3</v>
      </c>
      <c r="E1487" s="1" t="s">
        <v>4</v>
      </c>
      <c r="F1487" s="2" t="s">
        <v>5</v>
      </c>
      <c r="G1487" s="9" t="s">
        <v>40</v>
      </c>
      <c r="H1487" s="1" t="s">
        <v>6</v>
      </c>
      <c r="I1487" s="2" t="s">
        <v>7</v>
      </c>
      <c r="J1487" s="1" t="s">
        <v>8</v>
      </c>
      <c r="K1487" s="1" t="s">
        <v>9</v>
      </c>
    </row>
    <row r="1488" spans="1:11" x14ac:dyDescent="0.25">
      <c r="A1488" s="3">
        <v>45363</v>
      </c>
      <c r="B1488" t="s">
        <v>354</v>
      </c>
      <c r="C1488" t="s">
        <v>355</v>
      </c>
      <c r="D1488" t="s">
        <v>841</v>
      </c>
      <c r="E1488">
        <v>2016</v>
      </c>
      <c r="G1488" s="10" t="s">
        <v>356</v>
      </c>
      <c r="H1488" t="s">
        <v>842</v>
      </c>
    </row>
    <row r="1489" spans="1:11" x14ac:dyDescent="0.25">
      <c r="H1489" t="s">
        <v>843</v>
      </c>
    </row>
    <row r="1491" spans="1:11" x14ac:dyDescent="0.25">
      <c r="H1491" t="s">
        <v>17</v>
      </c>
    </row>
    <row r="1493" spans="1:11" x14ac:dyDescent="0.25">
      <c r="A1493" s="1" t="s">
        <v>0</v>
      </c>
      <c r="B1493" s="1" t="s">
        <v>1</v>
      </c>
      <c r="C1493" s="1" t="s">
        <v>2</v>
      </c>
      <c r="D1493" s="1" t="s">
        <v>3</v>
      </c>
      <c r="E1493" s="1" t="s">
        <v>4</v>
      </c>
      <c r="F1493" s="2" t="s">
        <v>5</v>
      </c>
      <c r="G1493" s="9" t="s">
        <v>40</v>
      </c>
      <c r="H1493" s="1" t="s">
        <v>6</v>
      </c>
      <c r="I1493" s="2" t="s">
        <v>7</v>
      </c>
      <c r="J1493" s="1" t="s">
        <v>8</v>
      </c>
      <c r="K1493" s="1" t="s">
        <v>9</v>
      </c>
    </row>
    <row r="1494" spans="1:11" x14ac:dyDescent="0.25">
      <c r="A1494" s="3">
        <v>45363</v>
      </c>
      <c r="B1494" t="s">
        <v>734</v>
      </c>
      <c r="G1494" s="10" t="s">
        <v>735</v>
      </c>
      <c r="H1494" t="s">
        <v>14</v>
      </c>
      <c r="I1494" s="4">
        <v>126000</v>
      </c>
    </row>
    <row r="1495" spans="1:11" x14ac:dyDescent="0.25">
      <c r="H1495" t="s">
        <v>15</v>
      </c>
      <c r="I1495" s="4">
        <v>65000</v>
      </c>
    </row>
    <row r="1496" spans="1:11" x14ac:dyDescent="0.25">
      <c r="H1496" t="s">
        <v>50</v>
      </c>
      <c r="I1496" s="4">
        <v>75000</v>
      </c>
    </row>
    <row r="1497" spans="1:11" x14ac:dyDescent="0.25">
      <c r="H1497" t="s">
        <v>68</v>
      </c>
      <c r="I1497" s="4">
        <v>90000</v>
      </c>
    </row>
    <row r="1498" spans="1:11" x14ac:dyDescent="0.25">
      <c r="H1498" t="s">
        <v>47</v>
      </c>
      <c r="I1498" s="4">
        <v>82000</v>
      </c>
    </row>
    <row r="1499" spans="1:11" x14ac:dyDescent="0.25">
      <c r="H1499" t="s">
        <v>37</v>
      </c>
      <c r="I1499" s="4">
        <v>290000</v>
      </c>
    </row>
    <row r="1500" spans="1:11" x14ac:dyDescent="0.25">
      <c r="H1500" t="s">
        <v>33</v>
      </c>
      <c r="I1500" s="4">
        <v>20000</v>
      </c>
    </row>
    <row r="1501" spans="1:11" x14ac:dyDescent="0.25">
      <c r="H1501" t="s">
        <v>736</v>
      </c>
      <c r="I1501" s="4">
        <v>40000</v>
      </c>
    </row>
    <row r="1503" spans="1:11" x14ac:dyDescent="0.25">
      <c r="H1503" t="s">
        <v>17</v>
      </c>
      <c r="I1503" s="4">
        <f>SUM(I1494:I1502)</f>
        <v>788000</v>
      </c>
    </row>
    <row r="1505" spans="1:11" x14ac:dyDescent="0.25">
      <c r="A1505" s="1" t="s">
        <v>0</v>
      </c>
      <c r="B1505" s="1" t="s">
        <v>1</v>
      </c>
      <c r="C1505" s="1" t="s">
        <v>2</v>
      </c>
      <c r="D1505" s="1" t="s">
        <v>3</v>
      </c>
      <c r="E1505" s="1" t="s">
        <v>4</v>
      </c>
      <c r="F1505" s="2" t="s">
        <v>5</v>
      </c>
      <c r="G1505" s="9" t="s">
        <v>40</v>
      </c>
      <c r="H1505" s="1" t="s">
        <v>6</v>
      </c>
      <c r="I1505" s="2" t="s">
        <v>7</v>
      </c>
      <c r="J1505" s="1" t="s">
        <v>8</v>
      </c>
      <c r="K1505" s="1" t="s">
        <v>9</v>
      </c>
    </row>
    <row r="1506" spans="1:11" x14ac:dyDescent="0.25">
      <c r="A1506" s="3">
        <v>45364</v>
      </c>
      <c r="B1506" t="s">
        <v>10</v>
      </c>
      <c r="D1506" t="s">
        <v>19</v>
      </c>
      <c r="G1506" s="10" t="s">
        <v>737</v>
      </c>
      <c r="H1506" t="s">
        <v>738</v>
      </c>
      <c r="I1506" s="4">
        <v>1100000</v>
      </c>
    </row>
    <row r="1507" spans="1:11" x14ac:dyDescent="0.25">
      <c r="H1507" t="s">
        <v>142</v>
      </c>
      <c r="I1507" s="4">
        <v>140000</v>
      </c>
    </row>
    <row r="1508" spans="1:11" x14ac:dyDescent="0.25">
      <c r="H1508" t="s">
        <v>739</v>
      </c>
      <c r="I1508" s="4">
        <v>40000</v>
      </c>
    </row>
    <row r="1509" spans="1:11" x14ac:dyDescent="0.25">
      <c r="H1509" t="s">
        <v>33</v>
      </c>
      <c r="I1509" s="4">
        <v>20000</v>
      </c>
    </row>
    <row r="1510" spans="1:11" x14ac:dyDescent="0.25">
      <c r="H1510" t="s">
        <v>577</v>
      </c>
      <c r="I1510" s="4">
        <v>140000</v>
      </c>
    </row>
    <row r="1512" spans="1:11" x14ac:dyDescent="0.25">
      <c r="H1512" t="s">
        <v>17</v>
      </c>
      <c r="I1512" s="4">
        <f>SUM(I1506:I1511)</f>
        <v>1440000</v>
      </c>
    </row>
    <row r="1514" spans="1:11" x14ac:dyDescent="0.25">
      <c r="A1514" s="1" t="s">
        <v>0</v>
      </c>
      <c r="B1514" s="1" t="s">
        <v>1</v>
      </c>
      <c r="C1514" s="1" t="s">
        <v>2</v>
      </c>
      <c r="D1514" s="1" t="s">
        <v>3</v>
      </c>
      <c r="E1514" s="1" t="s">
        <v>4</v>
      </c>
      <c r="F1514" s="2" t="s">
        <v>5</v>
      </c>
      <c r="G1514" s="9" t="s">
        <v>40</v>
      </c>
      <c r="H1514" s="1" t="s">
        <v>6</v>
      </c>
      <c r="I1514" s="2" t="s">
        <v>7</v>
      </c>
      <c r="J1514" s="1" t="s">
        <v>8</v>
      </c>
      <c r="K1514" s="1" t="s">
        <v>9</v>
      </c>
    </row>
    <row r="1515" spans="1:11" x14ac:dyDescent="0.25">
      <c r="A1515" s="3">
        <v>45365</v>
      </c>
      <c r="B1515" t="s">
        <v>10</v>
      </c>
      <c r="C1515" t="s">
        <v>740</v>
      </c>
      <c r="D1515" t="s">
        <v>12</v>
      </c>
      <c r="F1515" s="4">
        <v>84397</v>
      </c>
      <c r="G1515" s="10" t="s">
        <v>741</v>
      </c>
      <c r="H1515" t="s">
        <v>59</v>
      </c>
      <c r="I1515" s="4">
        <v>330000</v>
      </c>
    </row>
    <row r="1516" spans="1:11" x14ac:dyDescent="0.25">
      <c r="H1516" t="s">
        <v>180</v>
      </c>
      <c r="I1516" s="4">
        <v>250000</v>
      </c>
    </row>
    <row r="1517" spans="1:11" x14ac:dyDescent="0.25">
      <c r="H1517" t="s">
        <v>742</v>
      </c>
      <c r="I1517" s="4">
        <v>180000</v>
      </c>
    </row>
    <row r="1518" spans="1:11" x14ac:dyDescent="0.25">
      <c r="H1518" t="s">
        <v>142</v>
      </c>
      <c r="I1518" s="4">
        <v>140000</v>
      </c>
    </row>
    <row r="1519" spans="1:11" x14ac:dyDescent="0.25">
      <c r="H1519" t="s">
        <v>38</v>
      </c>
      <c r="I1519" s="4">
        <v>340000</v>
      </c>
    </row>
    <row r="1521" spans="1:11" x14ac:dyDescent="0.25">
      <c r="H1521" t="s">
        <v>17</v>
      </c>
      <c r="I1521" s="4">
        <f>SUM(I1515:I1520)</f>
        <v>1240000</v>
      </c>
    </row>
    <row r="1523" spans="1:11" x14ac:dyDescent="0.25">
      <c r="A1523" s="1" t="s">
        <v>0</v>
      </c>
      <c r="B1523" s="1" t="s">
        <v>1</v>
      </c>
      <c r="C1523" s="1" t="s">
        <v>2</v>
      </c>
      <c r="D1523" s="1" t="s">
        <v>3</v>
      </c>
      <c r="E1523" s="1" t="s">
        <v>4</v>
      </c>
      <c r="F1523" s="2" t="s">
        <v>5</v>
      </c>
      <c r="G1523" s="9" t="s">
        <v>40</v>
      </c>
      <c r="H1523" s="1" t="s">
        <v>6</v>
      </c>
      <c r="I1523" s="2" t="s">
        <v>7</v>
      </c>
      <c r="J1523" s="1" t="s">
        <v>8</v>
      </c>
      <c r="K1523" s="1" t="s">
        <v>9</v>
      </c>
    </row>
    <row r="1524" spans="1:11" x14ac:dyDescent="0.25">
      <c r="A1524" s="3">
        <v>45365</v>
      </c>
      <c r="B1524" t="s">
        <v>29</v>
      </c>
      <c r="C1524" t="s">
        <v>743</v>
      </c>
      <c r="D1524" t="s">
        <v>744</v>
      </c>
      <c r="F1524" s="4">
        <v>141475</v>
      </c>
      <c r="G1524" s="10" t="s">
        <v>745</v>
      </c>
      <c r="H1524" t="s">
        <v>746</v>
      </c>
      <c r="I1524" s="4">
        <v>366800</v>
      </c>
    </row>
    <row r="1525" spans="1:11" x14ac:dyDescent="0.25">
      <c r="H1525" t="s">
        <v>37</v>
      </c>
      <c r="I1525" s="4">
        <v>290000</v>
      </c>
    </row>
    <row r="1526" spans="1:11" x14ac:dyDescent="0.25">
      <c r="H1526" t="s">
        <v>14</v>
      </c>
      <c r="I1526" s="4">
        <v>120000</v>
      </c>
    </row>
    <row r="1527" spans="1:11" x14ac:dyDescent="0.25">
      <c r="H1527" t="s">
        <v>15</v>
      </c>
      <c r="I1527" s="4">
        <v>46000</v>
      </c>
    </row>
    <row r="1528" spans="1:11" x14ac:dyDescent="0.25">
      <c r="H1528" t="s">
        <v>50</v>
      </c>
      <c r="I1528" s="4">
        <v>129000</v>
      </c>
    </row>
    <row r="1529" spans="1:11" x14ac:dyDescent="0.25">
      <c r="H1529" t="s">
        <v>747</v>
      </c>
      <c r="I1529" s="4">
        <v>28200</v>
      </c>
    </row>
    <row r="1530" spans="1:11" x14ac:dyDescent="0.25">
      <c r="H1530" t="s">
        <v>21</v>
      </c>
      <c r="I1530" s="4">
        <v>40000</v>
      </c>
    </row>
    <row r="1531" spans="1:11" x14ac:dyDescent="0.25">
      <c r="H1531" t="s">
        <v>748</v>
      </c>
      <c r="I1531" s="4">
        <v>120000</v>
      </c>
    </row>
    <row r="1532" spans="1:11" x14ac:dyDescent="0.25">
      <c r="H1532" t="s">
        <v>33</v>
      </c>
      <c r="I1532" s="4">
        <v>20000</v>
      </c>
    </row>
    <row r="1534" spans="1:11" x14ac:dyDescent="0.25">
      <c r="H1534" t="s">
        <v>17</v>
      </c>
      <c r="I1534" s="4">
        <f>SUM(I1524:I1533)</f>
        <v>1160000</v>
      </c>
    </row>
    <row r="1536" spans="1:11" x14ac:dyDescent="0.25">
      <c r="A1536" s="1" t="s">
        <v>0</v>
      </c>
      <c r="B1536" s="1" t="s">
        <v>1</v>
      </c>
      <c r="C1536" s="1" t="s">
        <v>2</v>
      </c>
      <c r="D1536" s="1" t="s">
        <v>3</v>
      </c>
      <c r="E1536" s="1" t="s">
        <v>4</v>
      </c>
      <c r="F1536" s="2" t="s">
        <v>5</v>
      </c>
      <c r="G1536" s="9" t="s">
        <v>40</v>
      </c>
      <c r="H1536" s="1" t="s">
        <v>6</v>
      </c>
      <c r="I1536" s="2" t="s">
        <v>7</v>
      </c>
      <c r="J1536" s="1" t="s">
        <v>8</v>
      </c>
      <c r="K1536" s="1" t="s">
        <v>9</v>
      </c>
    </row>
    <row r="1537" spans="1:11" x14ac:dyDescent="0.25">
      <c r="A1537" s="3">
        <v>45366</v>
      </c>
      <c r="B1537" t="s">
        <v>29</v>
      </c>
      <c r="D1537" t="s">
        <v>749</v>
      </c>
      <c r="G1537" s="10" t="s">
        <v>64</v>
      </c>
      <c r="H1537" t="s">
        <v>14</v>
      </c>
      <c r="I1537" s="4">
        <v>150000</v>
      </c>
    </row>
    <row r="1538" spans="1:11" x14ac:dyDescent="0.25">
      <c r="H1538" t="s">
        <v>15</v>
      </c>
      <c r="I1538" s="4">
        <v>46000</v>
      </c>
    </row>
    <row r="1539" spans="1:11" x14ac:dyDescent="0.25">
      <c r="H1539" t="s">
        <v>97</v>
      </c>
      <c r="I1539" s="4">
        <v>60000</v>
      </c>
    </row>
    <row r="1540" spans="1:11" x14ac:dyDescent="0.25">
      <c r="H1540" t="s">
        <v>48</v>
      </c>
      <c r="I1540" s="4">
        <v>80000</v>
      </c>
    </row>
    <row r="1542" spans="1:11" x14ac:dyDescent="0.25">
      <c r="H1542" t="s">
        <v>17</v>
      </c>
      <c r="I1542" s="4">
        <f>SUM(I1537:I1541)</f>
        <v>336000</v>
      </c>
    </row>
    <row r="1544" spans="1:11" x14ac:dyDescent="0.25">
      <c r="A1544" s="1" t="s">
        <v>0</v>
      </c>
      <c r="B1544" s="1" t="s">
        <v>1</v>
      </c>
      <c r="C1544" s="1" t="s">
        <v>2</v>
      </c>
      <c r="D1544" s="1" t="s">
        <v>3</v>
      </c>
      <c r="E1544" s="1" t="s">
        <v>4</v>
      </c>
      <c r="F1544" s="2" t="s">
        <v>5</v>
      </c>
      <c r="G1544" s="9" t="s">
        <v>40</v>
      </c>
      <c r="H1544" s="1" t="s">
        <v>6</v>
      </c>
      <c r="I1544" s="2" t="s">
        <v>7</v>
      </c>
      <c r="J1544" s="1" t="s">
        <v>8</v>
      </c>
      <c r="K1544" s="1" t="s">
        <v>9</v>
      </c>
    </row>
    <row r="1545" spans="1:11" x14ac:dyDescent="0.25">
      <c r="A1545" s="3">
        <v>45366</v>
      </c>
      <c r="B1545" t="s">
        <v>10</v>
      </c>
      <c r="C1545" t="s">
        <v>844</v>
      </c>
      <c r="D1545" t="s">
        <v>12</v>
      </c>
      <c r="E1545">
        <v>2018</v>
      </c>
      <c r="G1545" s="10" t="s">
        <v>845</v>
      </c>
      <c r="H1545" t="s">
        <v>846</v>
      </c>
    </row>
    <row r="1546" spans="1:11" x14ac:dyDescent="0.25">
      <c r="H1546" t="s">
        <v>847</v>
      </c>
    </row>
    <row r="1547" spans="1:11" x14ac:dyDescent="0.25">
      <c r="H1547" t="s">
        <v>848</v>
      </c>
    </row>
    <row r="1549" spans="1:11" x14ac:dyDescent="0.25">
      <c r="H1549" t="s">
        <v>17</v>
      </c>
      <c r="I1549" s="4">
        <v>284000</v>
      </c>
    </row>
    <row r="1551" spans="1:11" x14ac:dyDescent="0.25">
      <c r="A1551" s="1" t="s">
        <v>0</v>
      </c>
      <c r="B1551" s="1" t="s">
        <v>1</v>
      </c>
      <c r="C1551" s="1" t="s">
        <v>2</v>
      </c>
      <c r="D1551" s="1" t="s">
        <v>3</v>
      </c>
      <c r="E1551" s="1" t="s">
        <v>4</v>
      </c>
      <c r="F1551" s="2" t="s">
        <v>5</v>
      </c>
      <c r="G1551" s="9" t="s">
        <v>40</v>
      </c>
      <c r="H1551" s="1" t="s">
        <v>6</v>
      </c>
      <c r="I1551" s="2" t="s">
        <v>7</v>
      </c>
      <c r="J1551" s="1" t="s">
        <v>8</v>
      </c>
      <c r="K1551" s="1" t="s">
        <v>9</v>
      </c>
    </row>
    <row r="1552" spans="1:11" x14ac:dyDescent="0.25">
      <c r="A1552" s="3">
        <v>45366</v>
      </c>
      <c r="B1552" t="s">
        <v>750</v>
      </c>
      <c r="C1552" t="s">
        <v>751</v>
      </c>
      <c r="D1552" t="s">
        <v>544</v>
      </c>
      <c r="E1552">
        <v>2015</v>
      </c>
      <c r="G1552" s="10" t="s">
        <v>752</v>
      </c>
      <c r="H1552" t="s">
        <v>753</v>
      </c>
      <c r="I1552" s="4">
        <v>60100</v>
      </c>
    </row>
    <row r="1553" spans="1:11" x14ac:dyDescent="0.25">
      <c r="H1553" t="s">
        <v>16</v>
      </c>
      <c r="I1553" s="4">
        <v>380000</v>
      </c>
    </row>
    <row r="1554" spans="1:11" x14ac:dyDescent="0.25">
      <c r="H1554" t="s">
        <v>155</v>
      </c>
      <c r="I1554" s="4">
        <v>80000</v>
      </c>
    </row>
    <row r="1555" spans="1:11" x14ac:dyDescent="0.25">
      <c r="H1555" t="s">
        <v>754</v>
      </c>
      <c r="I1555" s="4">
        <v>320000</v>
      </c>
    </row>
    <row r="1556" spans="1:11" x14ac:dyDescent="0.25">
      <c r="H1556" t="s">
        <v>33</v>
      </c>
      <c r="I1556" s="4">
        <v>20000</v>
      </c>
    </row>
    <row r="1557" spans="1:11" x14ac:dyDescent="0.25">
      <c r="H1557" t="s">
        <v>34</v>
      </c>
      <c r="I1557" s="4">
        <v>40000</v>
      </c>
    </row>
    <row r="1559" spans="1:11" x14ac:dyDescent="0.25">
      <c r="H1559" t="s">
        <v>17</v>
      </c>
      <c r="I1559" s="4">
        <f>SUM(I1552:I1558)</f>
        <v>900100</v>
      </c>
    </row>
    <row r="1561" spans="1:11" x14ac:dyDescent="0.25">
      <c r="A1561" s="1" t="s">
        <v>0</v>
      </c>
      <c r="B1561" s="1" t="s">
        <v>1</v>
      </c>
      <c r="C1561" s="1" t="s">
        <v>2</v>
      </c>
      <c r="D1561" s="1" t="s">
        <v>3</v>
      </c>
      <c r="E1561" s="1" t="s">
        <v>4</v>
      </c>
      <c r="F1561" s="2" t="s">
        <v>5</v>
      </c>
      <c r="G1561" s="9" t="s">
        <v>40</v>
      </c>
      <c r="H1561" s="1" t="s">
        <v>6</v>
      </c>
      <c r="I1561" s="2" t="s">
        <v>7</v>
      </c>
      <c r="J1561" s="1" t="s">
        <v>8</v>
      </c>
      <c r="K1561" s="1" t="s">
        <v>9</v>
      </c>
    </row>
    <row r="1562" spans="1:11" x14ac:dyDescent="0.25">
      <c r="A1562" s="3">
        <v>45366</v>
      </c>
      <c r="B1562" t="s">
        <v>436</v>
      </c>
      <c r="C1562" t="s">
        <v>755</v>
      </c>
      <c r="D1562" t="s">
        <v>87</v>
      </c>
      <c r="G1562" s="10" t="s">
        <v>756</v>
      </c>
      <c r="H1562" t="s">
        <v>38</v>
      </c>
      <c r="I1562" s="4">
        <v>670000</v>
      </c>
    </row>
    <row r="1563" spans="1:11" x14ac:dyDescent="0.25">
      <c r="H1563" t="s">
        <v>33</v>
      </c>
      <c r="I1563" s="4">
        <v>20000</v>
      </c>
    </row>
    <row r="1564" spans="1:11" x14ac:dyDescent="0.25">
      <c r="H1564" t="s">
        <v>757</v>
      </c>
      <c r="I1564" s="4">
        <v>60000</v>
      </c>
    </row>
    <row r="1566" spans="1:11" x14ac:dyDescent="0.25">
      <c r="H1566" t="s">
        <v>17</v>
      </c>
      <c r="I1566" s="4">
        <f>SUM(I1562:I1565)</f>
        <v>750000</v>
      </c>
    </row>
    <row r="1568" spans="1:11" x14ac:dyDescent="0.25">
      <c r="A1568" s="1" t="s">
        <v>0</v>
      </c>
      <c r="B1568" s="1" t="s">
        <v>1</v>
      </c>
      <c r="C1568" s="1" t="s">
        <v>2</v>
      </c>
      <c r="D1568" s="1" t="s">
        <v>3</v>
      </c>
      <c r="E1568" s="1" t="s">
        <v>4</v>
      </c>
      <c r="F1568" s="2" t="s">
        <v>5</v>
      </c>
      <c r="G1568" s="9" t="s">
        <v>40</v>
      </c>
      <c r="H1568" s="1" t="s">
        <v>6</v>
      </c>
      <c r="I1568" s="2" t="s">
        <v>7</v>
      </c>
      <c r="J1568" s="1" t="s">
        <v>8</v>
      </c>
      <c r="K1568" s="1" t="s">
        <v>9</v>
      </c>
    </row>
    <row r="1569" spans="1:11" x14ac:dyDescent="0.25">
      <c r="A1569" s="3">
        <v>45366</v>
      </c>
      <c r="B1569" t="s">
        <v>849</v>
      </c>
      <c r="C1569" t="s">
        <v>850</v>
      </c>
      <c r="D1569" t="s">
        <v>19</v>
      </c>
      <c r="E1569">
        <v>2022</v>
      </c>
      <c r="G1569" s="10" t="s">
        <v>817</v>
      </c>
      <c r="H1569" t="s">
        <v>851</v>
      </c>
    </row>
    <row r="1571" spans="1:11" x14ac:dyDescent="0.25">
      <c r="H1571" t="s">
        <v>17</v>
      </c>
    </row>
    <row r="1573" spans="1:11" x14ac:dyDescent="0.25">
      <c r="A1573" s="1" t="s">
        <v>0</v>
      </c>
      <c r="B1573" s="1" t="s">
        <v>1</v>
      </c>
      <c r="C1573" s="1" t="s">
        <v>2</v>
      </c>
      <c r="D1573" s="1" t="s">
        <v>3</v>
      </c>
      <c r="E1573" s="1" t="s">
        <v>4</v>
      </c>
      <c r="F1573" s="2" t="s">
        <v>5</v>
      </c>
      <c r="G1573" s="9" t="s">
        <v>40</v>
      </c>
      <c r="H1573" s="1" t="s">
        <v>6</v>
      </c>
      <c r="I1573" s="2" t="s">
        <v>7</v>
      </c>
      <c r="J1573" s="1" t="s">
        <v>8</v>
      </c>
      <c r="K1573" s="1" t="s">
        <v>9</v>
      </c>
    </row>
    <row r="1574" spans="1:11" x14ac:dyDescent="0.25">
      <c r="A1574" s="3">
        <v>45366</v>
      </c>
      <c r="B1574" t="s">
        <v>252</v>
      </c>
      <c r="C1574" t="s">
        <v>852</v>
      </c>
      <c r="D1574" t="s">
        <v>749</v>
      </c>
      <c r="E1574">
        <v>2020</v>
      </c>
      <c r="G1574" s="10" t="s">
        <v>853</v>
      </c>
      <c r="H1574" t="s">
        <v>59</v>
      </c>
      <c r="I1574" s="4">
        <v>220000</v>
      </c>
    </row>
    <row r="1575" spans="1:11" x14ac:dyDescent="0.25">
      <c r="H1575" t="s">
        <v>14</v>
      </c>
      <c r="I1575" s="4">
        <v>55000</v>
      </c>
    </row>
    <row r="1576" spans="1:11" x14ac:dyDescent="0.25">
      <c r="H1576" t="s">
        <v>48</v>
      </c>
      <c r="I1576" s="4">
        <v>35000</v>
      </c>
    </row>
    <row r="1577" spans="1:11" x14ac:dyDescent="0.25">
      <c r="H1577" t="s">
        <v>33</v>
      </c>
      <c r="I1577" s="4">
        <v>20000</v>
      </c>
    </row>
    <row r="1579" spans="1:11" x14ac:dyDescent="0.25">
      <c r="H1579" t="s">
        <v>17</v>
      </c>
      <c r="I1579" s="4">
        <f>SUM(I1574:I1578)</f>
        <v>330000</v>
      </c>
    </row>
    <row r="1581" spans="1:11" x14ac:dyDescent="0.25">
      <c r="A1581" s="1" t="s">
        <v>0</v>
      </c>
      <c r="B1581" s="1" t="s">
        <v>1</v>
      </c>
      <c r="C1581" s="1" t="s">
        <v>2</v>
      </c>
      <c r="D1581" s="1" t="s">
        <v>3</v>
      </c>
      <c r="E1581" s="1" t="s">
        <v>4</v>
      </c>
      <c r="F1581" s="2" t="s">
        <v>5</v>
      </c>
      <c r="G1581" s="9" t="s">
        <v>40</v>
      </c>
      <c r="H1581" s="1" t="s">
        <v>6</v>
      </c>
      <c r="I1581" s="2" t="s">
        <v>7</v>
      </c>
      <c r="J1581" s="1" t="s">
        <v>8</v>
      </c>
      <c r="K1581" s="1" t="s">
        <v>9</v>
      </c>
    </row>
    <row r="1582" spans="1:11" x14ac:dyDescent="0.25">
      <c r="A1582" s="3">
        <v>45428</v>
      </c>
      <c r="B1582" t="s">
        <v>363</v>
      </c>
      <c r="C1582" t="s">
        <v>854</v>
      </c>
      <c r="F1582" s="4">
        <v>27099</v>
      </c>
      <c r="G1582" s="10" t="s">
        <v>855</v>
      </c>
      <c r="H1582" t="s">
        <v>14</v>
      </c>
    </row>
    <row r="1583" spans="1:11" x14ac:dyDescent="0.25">
      <c r="H1583" t="s">
        <v>856</v>
      </c>
    </row>
    <row r="1584" spans="1:11" x14ac:dyDescent="0.25">
      <c r="H1584" t="s">
        <v>776</v>
      </c>
    </row>
    <row r="1585" spans="1:11" x14ac:dyDescent="0.25">
      <c r="H1585" t="s">
        <v>857</v>
      </c>
    </row>
    <row r="1586" spans="1:11" x14ac:dyDescent="0.25">
      <c r="H1586" t="s">
        <v>858</v>
      </c>
    </row>
    <row r="1587" spans="1:11" x14ac:dyDescent="0.25">
      <c r="H1587" t="s">
        <v>822</v>
      </c>
    </row>
    <row r="1588" spans="1:11" x14ac:dyDescent="0.25">
      <c r="H1588" t="s">
        <v>59</v>
      </c>
    </row>
    <row r="1589" spans="1:11" x14ac:dyDescent="0.25">
      <c r="H1589" t="s">
        <v>859</v>
      </c>
    </row>
    <row r="1591" spans="1:11" x14ac:dyDescent="0.25">
      <c r="H1591" t="s">
        <v>17</v>
      </c>
    </row>
    <row r="1593" spans="1:11" x14ac:dyDescent="0.25">
      <c r="A1593" s="1" t="s">
        <v>0</v>
      </c>
      <c r="B1593" s="1" t="s">
        <v>1</v>
      </c>
      <c r="C1593" s="1" t="s">
        <v>2</v>
      </c>
      <c r="D1593" s="1" t="s">
        <v>3</v>
      </c>
      <c r="E1593" s="1" t="s">
        <v>4</v>
      </c>
      <c r="F1593" s="2" t="s">
        <v>5</v>
      </c>
      <c r="G1593" s="9" t="s">
        <v>40</v>
      </c>
      <c r="H1593" s="1" t="s">
        <v>6</v>
      </c>
      <c r="I1593" s="2" t="s">
        <v>7</v>
      </c>
      <c r="J1593" s="1" t="s">
        <v>8</v>
      </c>
      <c r="K1593" s="1" t="s">
        <v>9</v>
      </c>
    </row>
    <row r="1594" spans="1:11" x14ac:dyDescent="0.25">
      <c r="A1594" s="3">
        <v>45367</v>
      </c>
      <c r="B1594" t="s">
        <v>10</v>
      </c>
      <c r="C1594" t="s">
        <v>225</v>
      </c>
      <c r="D1594" t="s">
        <v>19</v>
      </c>
      <c r="E1594">
        <v>2023</v>
      </c>
      <c r="F1594" s="4">
        <v>20865</v>
      </c>
      <c r="G1594" s="10" t="s">
        <v>412</v>
      </c>
      <c r="H1594" t="s">
        <v>37</v>
      </c>
      <c r="I1594" s="4">
        <v>290000</v>
      </c>
    </row>
    <row r="1595" spans="1:11" x14ac:dyDescent="0.25">
      <c r="H1595" t="s">
        <v>758</v>
      </c>
      <c r="I1595" s="4">
        <v>120000</v>
      </c>
    </row>
    <row r="1596" spans="1:11" x14ac:dyDescent="0.25">
      <c r="H1596" t="s">
        <v>33</v>
      </c>
      <c r="I1596" s="4">
        <v>20000</v>
      </c>
    </row>
    <row r="1597" spans="1:11" x14ac:dyDescent="0.25">
      <c r="H1597" t="s">
        <v>721</v>
      </c>
      <c r="I1597" s="4">
        <v>40000</v>
      </c>
    </row>
    <row r="1598" spans="1:11" x14ac:dyDescent="0.25">
      <c r="H1598" t="s">
        <v>759</v>
      </c>
      <c r="I1598" s="4">
        <v>40000</v>
      </c>
    </row>
    <row r="1599" spans="1:11" x14ac:dyDescent="0.25">
      <c r="H1599" t="s">
        <v>760</v>
      </c>
      <c r="I1599" s="4">
        <v>30000</v>
      </c>
    </row>
    <row r="1600" spans="1:11" x14ac:dyDescent="0.25">
      <c r="H1600" t="s">
        <v>761</v>
      </c>
      <c r="I1600" s="4">
        <v>20000</v>
      </c>
    </row>
    <row r="1602" spans="1:11" x14ac:dyDescent="0.25">
      <c r="H1602" t="s">
        <v>17</v>
      </c>
      <c r="I1602" s="4">
        <f>SUM(I1594:I1601)</f>
        <v>560000</v>
      </c>
    </row>
    <row r="1604" spans="1:11" x14ac:dyDescent="0.25">
      <c r="A1604" s="1" t="s">
        <v>0</v>
      </c>
      <c r="B1604" s="1" t="s">
        <v>1</v>
      </c>
      <c r="C1604" s="1" t="s">
        <v>2</v>
      </c>
      <c r="D1604" s="1" t="s">
        <v>3</v>
      </c>
      <c r="E1604" s="1" t="s">
        <v>4</v>
      </c>
      <c r="F1604" s="2" t="s">
        <v>5</v>
      </c>
      <c r="G1604" s="9" t="s">
        <v>40</v>
      </c>
      <c r="H1604" s="1" t="s">
        <v>6</v>
      </c>
      <c r="I1604" s="2" t="s">
        <v>7</v>
      </c>
      <c r="J1604" s="1" t="s">
        <v>8</v>
      </c>
      <c r="K1604" s="1" t="s">
        <v>9</v>
      </c>
    </row>
    <row r="1605" spans="1:11" x14ac:dyDescent="0.25">
      <c r="A1605" s="3">
        <v>45369</v>
      </c>
      <c r="B1605" t="s">
        <v>10</v>
      </c>
      <c r="C1605" t="s">
        <v>631</v>
      </c>
      <c r="D1605" t="s">
        <v>762</v>
      </c>
      <c r="F1605" s="4">
        <v>31500</v>
      </c>
      <c r="G1605" s="10" t="s">
        <v>632</v>
      </c>
      <c r="H1605" t="s">
        <v>733</v>
      </c>
      <c r="I1605" s="4">
        <v>192000</v>
      </c>
    </row>
    <row r="1606" spans="1:11" x14ac:dyDescent="0.25">
      <c r="H1606" t="s">
        <v>15</v>
      </c>
      <c r="I1606" s="4">
        <v>46000</v>
      </c>
    </row>
    <row r="1607" spans="1:11" x14ac:dyDescent="0.25">
      <c r="H1607" t="s">
        <v>16</v>
      </c>
      <c r="I1607" s="4">
        <v>80000</v>
      </c>
    </row>
    <row r="1609" spans="1:11" x14ac:dyDescent="0.25">
      <c r="H1609" t="s">
        <v>17</v>
      </c>
      <c r="I1609" s="4">
        <f>SUM(I1605:I1608)</f>
        <v>318000</v>
      </c>
    </row>
    <row r="1611" spans="1:11" x14ac:dyDescent="0.25">
      <c r="A1611" s="1" t="s">
        <v>0</v>
      </c>
      <c r="B1611" s="1" t="s">
        <v>1</v>
      </c>
      <c r="C1611" s="1" t="s">
        <v>2</v>
      </c>
      <c r="D1611" s="1" t="s">
        <v>3</v>
      </c>
      <c r="E1611" s="1" t="s">
        <v>4</v>
      </c>
      <c r="F1611" s="2" t="s">
        <v>5</v>
      </c>
      <c r="G1611" s="9" t="s">
        <v>40</v>
      </c>
      <c r="H1611" s="1" t="s">
        <v>6</v>
      </c>
      <c r="I1611" s="2" t="s">
        <v>7</v>
      </c>
      <c r="J1611" s="1" t="s">
        <v>8</v>
      </c>
      <c r="K1611" s="1" t="s">
        <v>9</v>
      </c>
    </row>
    <row r="1612" spans="1:11" x14ac:dyDescent="0.25">
      <c r="A1612" s="3">
        <v>45370</v>
      </c>
      <c r="B1612" t="s">
        <v>153</v>
      </c>
      <c r="C1612" t="s">
        <v>763</v>
      </c>
      <c r="D1612" t="s">
        <v>544</v>
      </c>
      <c r="G1612" s="10" t="s">
        <v>764</v>
      </c>
      <c r="H1612" t="s">
        <v>59</v>
      </c>
      <c r="I1612" s="4">
        <v>200000</v>
      </c>
    </row>
    <row r="1613" spans="1:11" x14ac:dyDescent="0.25">
      <c r="H1613" t="s">
        <v>14</v>
      </c>
      <c r="I1613" s="4">
        <v>120000</v>
      </c>
    </row>
    <row r="1614" spans="1:11" x14ac:dyDescent="0.25">
      <c r="H1614" t="s">
        <v>21</v>
      </c>
      <c r="I1614" s="4">
        <v>25000</v>
      </c>
    </row>
    <row r="1615" spans="1:11" x14ac:dyDescent="0.25">
      <c r="H1615" t="s">
        <v>15</v>
      </c>
      <c r="I1615" s="4">
        <v>46000</v>
      </c>
    </row>
    <row r="1616" spans="1:11" x14ac:dyDescent="0.25">
      <c r="H1616" t="s">
        <v>765</v>
      </c>
      <c r="I1616" s="4">
        <v>600000</v>
      </c>
    </row>
    <row r="1617" spans="1:11" x14ac:dyDescent="0.25">
      <c r="H1617" t="s">
        <v>33</v>
      </c>
      <c r="I1617" s="4">
        <v>20000</v>
      </c>
    </row>
    <row r="1619" spans="1:11" x14ac:dyDescent="0.25">
      <c r="H1619" t="s">
        <v>17</v>
      </c>
      <c r="I1619" s="4">
        <f>SUM(I1612:I1618)</f>
        <v>1011000</v>
      </c>
    </row>
    <row r="1621" spans="1:11" x14ac:dyDescent="0.25">
      <c r="A1621" s="1" t="s">
        <v>0</v>
      </c>
      <c r="B1621" s="1" t="s">
        <v>1</v>
      </c>
      <c r="C1621" s="1" t="s">
        <v>2</v>
      </c>
      <c r="D1621" s="1" t="s">
        <v>3</v>
      </c>
      <c r="E1621" s="1" t="s">
        <v>4</v>
      </c>
      <c r="F1621" s="2" t="s">
        <v>5</v>
      </c>
      <c r="G1621" s="9" t="s">
        <v>40</v>
      </c>
      <c r="H1621" s="1" t="s">
        <v>6</v>
      </c>
      <c r="I1621" s="2" t="s">
        <v>7</v>
      </c>
      <c r="J1621" s="1" t="s">
        <v>8</v>
      </c>
      <c r="K1621" s="1" t="s">
        <v>9</v>
      </c>
    </row>
    <row r="1622" spans="1:11" x14ac:dyDescent="0.25">
      <c r="A1622" s="3">
        <v>45370</v>
      </c>
      <c r="B1622" t="s">
        <v>766</v>
      </c>
      <c r="C1622" t="s">
        <v>767</v>
      </c>
      <c r="D1622" t="s">
        <v>26</v>
      </c>
      <c r="F1622" s="4">
        <v>20684</v>
      </c>
      <c r="H1622" t="s">
        <v>34</v>
      </c>
      <c r="I1622" s="4">
        <v>24000</v>
      </c>
    </row>
    <row r="1623" spans="1:11" x14ac:dyDescent="0.25">
      <c r="H1623" t="s">
        <v>15</v>
      </c>
      <c r="I1623" s="4">
        <v>16000</v>
      </c>
    </row>
    <row r="1624" spans="1:11" x14ac:dyDescent="0.25">
      <c r="H1624" t="s">
        <v>95</v>
      </c>
      <c r="I1624" s="4">
        <v>10000</v>
      </c>
    </row>
    <row r="1626" spans="1:11" x14ac:dyDescent="0.25">
      <c r="H1626" t="s">
        <v>17</v>
      </c>
      <c r="I1626" s="4">
        <f>SUM(I1622:I1625)</f>
        <v>50000</v>
      </c>
    </row>
    <row r="1628" spans="1:11" x14ac:dyDescent="0.25">
      <c r="A1628" s="1" t="s">
        <v>0</v>
      </c>
      <c r="B1628" s="1" t="s">
        <v>1</v>
      </c>
      <c r="C1628" s="1" t="s">
        <v>2</v>
      </c>
      <c r="D1628" s="1" t="s">
        <v>3</v>
      </c>
      <c r="E1628" s="1" t="s">
        <v>4</v>
      </c>
      <c r="F1628" s="2" t="s">
        <v>5</v>
      </c>
      <c r="G1628" s="9" t="s">
        <v>40</v>
      </c>
      <c r="H1628" s="1" t="s">
        <v>6</v>
      </c>
      <c r="I1628" s="2" t="s">
        <v>7</v>
      </c>
      <c r="J1628" s="1" t="s">
        <v>8</v>
      </c>
      <c r="K1628" s="1" t="s">
        <v>9</v>
      </c>
    </row>
    <row r="1629" spans="1:11" x14ac:dyDescent="0.25">
      <c r="A1629" s="3">
        <v>45369</v>
      </c>
      <c r="B1629" t="s">
        <v>10</v>
      </c>
      <c r="C1629" t="s">
        <v>107</v>
      </c>
      <c r="F1629" s="4">
        <v>41900</v>
      </c>
      <c r="H1629" t="s">
        <v>768</v>
      </c>
      <c r="I1629" s="4">
        <v>360000</v>
      </c>
    </row>
    <row r="1630" spans="1:11" x14ac:dyDescent="0.25">
      <c r="H1630" t="s">
        <v>652</v>
      </c>
      <c r="I1630" s="4">
        <v>25000</v>
      </c>
    </row>
    <row r="1632" spans="1:11" x14ac:dyDescent="0.25">
      <c r="H1632" t="s">
        <v>17</v>
      </c>
      <c r="I1632" s="4">
        <f>SUM(I1629:I1631)</f>
        <v>385000</v>
      </c>
    </row>
    <row r="1634" spans="1:11" x14ac:dyDescent="0.25">
      <c r="A1634" s="1" t="s">
        <v>0</v>
      </c>
      <c r="B1634" s="1" t="s">
        <v>1</v>
      </c>
      <c r="C1634" s="1" t="s">
        <v>2</v>
      </c>
      <c r="D1634" s="1" t="s">
        <v>3</v>
      </c>
      <c r="E1634" s="1" t="s">
        <v>4</v>
      </c>
      <c r="F1634" s="2" t="s">
        <v>5</v>
      </c>
      <c r="G1634" s="9" t="s">
        <v>40</v>
      </c>
      <c r="H1634" s="1" t="s">
        <v>6</v>
      </c>
      <c r="I1634" s="2" t="s">
        <v>7</v>
      </c>
      <c r="J1634" s="1" t="s">
        <v>8</v>
      </c>
      <c r="K1634" s="1" t="s">
        <v>9</v>
      </c>
    </row>
    <row r="1635" spans="1:11" x14ac:dyDescent="0.25">
      <c r="A1635" s="3">
        <v>45370</v>
      </c>
      <c r="B1635" t="s">
        <v>769</v>
      </c>
      <c r="C1635" t="s">
        <v>770</v>
      </c>
      <c r="D1635" t="s">
        <v>26</v>
      </c>
      <c r="G1635" s="10" t="s">
        <v>771</v>
      </c>
      <c r="H1635" t="s">
        <v>772</v>
      </c>
      <c r="I1635" s="4">
        <v>380000</v>
      </c>
    </row>
    <row r="1636" spans="1:11" x14ac:dyDescent="0.25">
      <c r="H1636" t="s">
        <v>129</v>
      </c>
      <c r="I1636" s="4">
        <v>373000</v>
      </c>
    </row>
    <row r="1637" spans="1:11" x14ac:dyDescent="0.25">
      <c r="H1637" t="s">
        <v>773</v>
      </c>
      <c r="I1637" s="4">
        <v>300000</v>
      </c>
    </row>
    <row r="1638" spans="1:11" x14ac:dyDescent="0.25">
      <c r="H1638" t="s">
        <v>774</v>
      </c>
      <c r="I1638" s="4">
        <v>60000</v>
      </c>
    </row>
    <row r="1639" spans="1:11" x14ac:dyDescent="0.25">
      <c r="H1639" t="s">
        <v>430</v>
      </c>
      <c r="I1639" s="4">
        <v>40000</v>
      </c>
    </row>
    <row r="1640" spans="1:11" x14ac:dyDescent="0.25">
      <c r="H1640" t="s">
        <v>775</v>
      </c>
      <c r="I1640" s="4">
        <v>150000</v>
      </c>
    </row>
    <row r="1641" spans="1:11" x14ac:dyDescent="0.25">
      <c r="H1641" t="s">
        <v>776</v>
      </c>
      <c r="I1641" s="4">
        <v>10000</v>
      </c>
    </row>
    <row r="1642" spans="1:11" x14ac:dyDescent="0.25">
      <c r="H1642" t="s">
        <v>777</v>
      </c>
      <c r="I1642" s="4">
        <v>90000</v>
      </c>
    </row>
    <row r="1643" spans="1:11" x14ac:dyDescent="0.25">
      <c r="H1643" t="s">
        <v>582</v>
      </c>
      <c r="I1643" s="4">
        <v>294000</v>
      </c>
    </row>
    <row r="1644" spans="1:11" x14ac:dyDescent="0.25">
      <c r="H1644" t="s">
        <v>778</v>
      </c>
      <c r="I1644" s="4">
        <v>51000</v>
      </c>
    </row>
    <row r="1646" spans="1:11" x14ac:dyDescent="0.25">
      <c r="H1646" t="s">
        <v>17</v>
      </c>
      <c r="I1646" s="4">
        <f>SUM(I1635:I1645)</f>
        <v>1748000</v>
      </c>
    </row>
    <row r="1648" spans="1:11" x14ac:dyDescent="0.25">
      <c r="A1648" s="1" t="s">
        <v>0</v>
      </c>
      <c r="B1648" s="1" t="s">
        <v>1</v>
      </c>
      <c r="C1648" s="1" t="s">
        <v>2</v>
      </c>
      <c r="D1648" s="1" t="s">
        <v>3</v>
      </c>
      <c r="E1648" s="1" t="s">
        <v>4</v>
      </c>
      <c r="F1648" s="2" t="s">
        <v>5</v>
      </c>
      <c r="G1648" s="9" t="s">
        <v>40</v>
      </c>
      <c r="H1648" s="1" t="s">
        <v>6</v>
      </c>
      <c r="I1648" s="2" t="s">
        <v>7</v>
      </c>
      <c r="J1648" s="1" t="s">
        <v>8</v>
      </c>
      <c r="K1648" s="1" t="s">
        <v>9</v>
      </c>
    </row>
    <row r="1649" spans="1:11" x14ac:dyDescent="0.25">
      <c r="A1649" s="3">
        <v>45401</v>
      </c>
      <c r="B1649" t="s">
        <v>1215</v>
      </c>
      <c r="C1649" t="s">
        <v>1216</v>
      </c>
      <c r="E1649">
        <v>2018</v>
      </c>
      <c r="F1649" s="4">
        <v>58856</v>
      </c>
      <c r="G1649" s="10" t="s">
        <v>1217</v>
      </c>
      <c r="H1649" t="s">
        <v>1218</v>
      </c>
    </row>
    <row r="1650" spans="1:11" x14ac:dyDescent="0.25">
      <c r="H1650" t="s">
        <v>1219</v>
      </c>
    </row>
    <row r="1652" spans="1:11" x14ac:dyDescent="0.25">
      <c r="H1652" t="s">
        <v>17</v>
      </c>
    </row>
    <row r="1654" spans="1:11" x14ac:dyDescent="0.25">
      <c r="A1654" s="1" t="s">
        <v>0</v>
      </c>
      <c r="B1654" s="1" t="s">
        <v>1</v>
      </c>
      <c r="C1654" s="1" t="s">
        <v>2</v>
      </c>
      <c r="D1654" s="1" t="s">
        <v>3</v>
      </c>
      <c r="E1654" s="1" t="s">
        <v>4</v>
      </c>
      <c r="F1654" s="2" t="s">
        <v>5</v>
      </c>
      <c r="G1654" s="9" t="s">
        <v>40</v>
      </c>
      <c r="H1654" s="1" t="s">
        <v>6</v>
      </c>
      <c r="I1654" s="2" t="s">
        <v>7</v>
      </c>
      <c r="J1654" s="1" t="s">
        <v>8</v>
      </c>
      <c r="K1654" s="1" t="s">
        <v>9</v>
      </c>
    </row>
    <row r="1655" spans="1:11" x14ac:dyDescent="0.25">
      <c r="A1655" s="3">
        <v>45372</v>
      </c>
      <c r="B1655" t="s">
        <v>85</v>
      </c>
      <c r="C1655" t="s">
        <v>779</v>
      </c>
      <c r="D1655" t="s">
        <v>19</v>
      </c>
      <c r="E1655">
        <v>2016</v>
      </c>
      <c r="F1655" s="4">
        <v>27386</v>
      </c>
      <c r="G1655" s="10" t="s">
        <v>780</v>
      </c>
      <c r="H1655" t="s">
        <v>59</v>
      </c>
    </row>
    <row r="1657" spans="1:11" x14ac:dyDescent="0.25">
      <c r="H1657" t="s">
        <v>17</v>
      </c>
    </row>
    <row r="1659" spans="1:11" x14ac:dyDescent="0.25">
      <c r="A1659" s="1" t="s">
        <v>0</v>
      </c>
      <c r="B1659" s="1" t="s">
        <v>1</v>
      </c>
      <c r="C1659" s="1" t="s">
        <v>2</v>
      </c>
      <c r="D1659" s="1" t="s">
        <v>3</v>
      </c>
      <c r="E1659" s="1" t="s">
        <v>4</v>
      </c>
      <c r="F1659" s="2" t="s">
        <v>5</v>
      </c>
      <c r="G1659" s="9" t="s">
        <v>40</v>
      </c>
      <c r="H1659" s="1" t="s">
        <v>6</v>
      </c>
      <c r="I1659" s="2" t="s">
        <v>7</v>
      </c>
      <c r="J1659" s="1" t="s">
        <v>8</v>
      </c>
      <c r="K1659" s="1" t="s">
        <v>9</v>
      </c>
    </row>
    <row r="1660" spans="1:11" x14ac:dyDescent="0.25">
      <c r="A1660" s="3">
        <v>45372</v>
      </c>
      <c r="B1660" t="s">
        <v>10</v>
      </c>
      <c r="C1660" t="s">
        <v>781</v>
      </c>
      <c r="D1660" t="s">
        <v>12</v>
      </c>
      <c r="F1660" s="4">
        <v>64385</v>
      </c>
      <c r="H1660" t="s">
        <v>782</v>
      </c>
      <c r="I1660" s="4">
        <v>70000</v>
      </c>
    </row>
    <row r="1661" spans="1:11" x14ac:dyDescent="0.25">
      <c r="H1661" t="s">
        <v>112</v>
      </c>
      <c r="I1661" s="4">
        <v>100000</v>
      </c>
    </row>
    <row r="1662" spans="1:11" x14ac:dyDescent="0.25">
      <c r="H1662" t="s">
        <v>102</v>
      </c>
      <c r="I1662" s="4">
        <v>35000</v>
      </c>
    </row>
    <row r="1663" spans="1:11" x14ac:dyDescent="0.25">
      <c r="H1663" t="s">
        <v>783</v>
      </c>
      <c r="I1663" s="4">
        <v>250000</v>
      </c>
    </row>
    <row r="1665" spans="1:11" x14ac:dyDescent="0.25">
      <c r="H1665" t="s">
        <v>17</v>
      </c>
      <c r="I1665" s="4">
        <f>SUM(I1660:I1664)</f>
        <v>455000</v>
      </c>
    </row>
    <row r="1667" spans="1:11" x14ac:dyDescent="0.25">
      <c r="A1667" s="1" t="s">
        <v>0</v>
      </c>
      <c r="B1667" s="1" t="s">
        <v>1</v>
      </c>
      <c r="C1667" s="1" t="s">
        <v>2</v>
      </c>
      <c r="D1667" s="1" t="s">
        <v>3</v>
      </c>
      <c r="E1667" s="1" t="s">
        <v>4</v>
      </c>
      <c r="F1667" s="2" t="s">
        <v>5</v>
      </c>
      <c r="G1667" s="9" t="s">
        <v>40</v>
      </c>
      <c r="H1667" s="1" t="s">
        <v>6</v>
      </c>
      <c r="I1667" s="2" t="s">
        <v>7</v>
      </c>
      <c r="J1667" s="1" t="s">
        <v>8</v>
      </c>
      <c r="K1667" s="1" t="s">
        <v>9</v>
      </c>
    </row>
    <row r="1668" spans="1:11" x14ac:dyDescent="0.25">
      <c r="A1668" s="3">
        <v>45373</v>
      </c>
      <c r="B1668" t="s">
        <v>247</v>
      </c>
      <c r="C1668" t="s">
        <v>784</v>
      </c>
      <c r="D1668" t="s">
        <v>26</v>
      </c>
      <c r="F1668" s="4">
        <v>60860</v>
      </c>
      <c r="G1668" s="10" t="s">
        <v>785</v>
      </c>
      <c r="H1668" t="s">
        <v>38</v>
      </c>
      <c r="I1668" s="4">
        <v>750000</v>
      </c>
    </row>
    <row r="1669" spans="1:11" x14ac:dyDescent="0.25">
      <c r="H1669" t="s">
        <v>786</v>
      </c>
      <c r="I1669" s="4">
        <v>25000</v>
      </c>
    </row>
    <row r="1670" spans="1:11" x14ac:dyDescent="0.25">
      <c r="H1670" t="s">
        <v>14</v>
      </c>
      <c r="I1670" s="4">
        <v>138000</v>
      </c>
    </row>
    <row r="1671" spans="1:11" x14ac:dyDescent="0.25">
      <c r="H1671" t="s">
        <v>15</v>
      </c>
      <c r="I1671" s="4">
        <v>46000</v>
      </c>
    </row>
    <row r="1672" spans="1:11" x14ac:dyDescent="0.25">
      <c r="H1672" t="s">
        <v>106</v>
      </c>
      <c r="I1672" s="4">
        <v>150000</v>
      </c>
    </row>
    <row r="1673" spans="1:11" x14ac:dyDescent="0.25">
      <c r="H1673" t="s">
        <v>33</v>
      </c>
      <c r="I1673" s="4">
        <v>20000</v>
      </c>
    </row>
    <row r="1674" spans="1:11" x14ac:dyDescent="0.25">
      <c r="H1674" t="s">
        <v>693</v>
      </c>
      <c r="I1674" s="4">
        <v>300000</v>
      </c>
    </row>
    <row r="1675" spans="1:11" x14ac:dyDescent="0.25">
      <c r="H1675" t="s">
        <v>787</v>
      </c>
      <c r="I1675" s="4">
        <v>60000</v>
      </c>
    </row>
    <row r="1676" spans="1:11" x14ac:dyDescent="0.25">
      <c r="H1676" t="s">
        <v>788</v>
      </c>
      <c r="I1676" s="4">
        <v>40000</v>
      </c>
    </row>
    <row r="1678" spans="1:11" x14ac:dyDescent="0.25">
      <c r="H1678" t="s">
        <v>17</v>
      </c>
      <c r="I1678" s="4">
        <f>SUM(I1668:I1677)</f>
        <v>1529000</v>
      </c>
    </row>
    <row r="1680" spans="1:11" x14ac:dyDescent="0.25">
      <c r="A1680" s="1" t="s">
        <v>0</v>
      </c>
      <c r="B1680" s="1" t="s">
        <v>1</v>
      </c>
      <c r="C1680" s="1" t="s">
        <v>2</v>
      </c>
      <c r="D1680" s="1" t="s">
        <v>3</v>
      </c>
      <c r="E1680" s="1" t="s">
        <v>4</v>
      </c>
      <c r="F1680" s="2" t="s">
        <v>5</v>
      </c>
      <c r="G1680" s="9" t="s">
        <v>40</v>
      </c>
      <c r="H1680" s="1" t="s">
        <v>6</v>
      </c>
      <c r="I1680" s="2" t="s">
        <v>7</v>
      </c>
      <c r="J1680" s="1" t="s">
        <v>8</v>
      </c>
      <c r="K1680" s="1" t="s">
        <v>9</v>
      </c>
    </row>
    <row r="1681" spans="1:11" x14ac:dyDescent="0.25">
      <c r="A1681" s="3">
        <v>45373</v>
      </c>
      <c r="B1681" t="s">
        <v>793</v>
      </c>
      <c r="C1681" t="s">
        <v>794</v>
      </c>
      <c r="D1681" t="s">
        <v>544</v>
      </c>
      <c r="H1681" t="s">
        <v>795</v>
      </c>
      <c r="I1681" s="4">
        <v>18900</v>
      </c>
    </row>
    <row r="1682" spans="1:11" x14ac:dyDescent="0.25">
      <c r="H1682" t="s">
        <v>796</v>
      </c>
      <c r="I1682" s="4">
        <v>18100</v>
      </c>
    </row>
    <row r="1683" spans="1:11" x14ac:dyDescent="0.25">
      <c r="H1683" t="s">
        <v>797</v>
      </c>
      <c r="I1683" s="4">
        <v>20000</v>
      </c>
    </row>
    <row r="1684" spans="1:11" x14ac:dyDescent="0.25">
      <c r="H1684" t="s">
        <v>798</v>
      </c>
      <c r="I1684" s="4">
        <v>15000</v>
      </c>
    </row>
    <row r="1685" spans="1:11" x14ac:dyDescent="0.25">
      <c r="H1685" t="s">
        <v>16</v>
      </c>
      <c r="I1685" s="4">
        <v>150000</v>
      </c>
    </row>
    <row r="1686" spans="1:11" x14ac:dyDescent="0.25">
      <c r="H1686" t="s">
        <v>799</v>
      </c>
      <c r="I1686" s="4">
        <v>20000</v>
      </c>
    </row>
    <row r="1687" spans="1:11" x14ac:dyDescent="0.25">
      <c r="H1687" t="s">
        <v>800</v>
      </c>
      <c r="I1687" s="4">
        <v>120000</v>
      </c>
    </row>
    <row r="1688" spans="1:11" x14ac:dyDescent="0.25">
      <c r="H1688" t="s">
        <v>33</v>
      </c>
      <c r="I1688" s="4">
        <v>20000</v>
      </c>
    </row>
    <row r="1690" spans="1:11" x14ac:dyDescent="0.25">
      <c r="H1690" t="s">
        <v>17</v>
      </c>
      <c r="I1690" s="4">
        <f>SUM(I1681:I1689)</f>
        <v>382000</v>
      </c>
    </row>
    <row r="1692" spans="1:11" x14ac:dyDescent="0.25">
      <c r="A1692" s="1" t="s">
        <v>0</v>
      </c>
      <c r="B1692" s="1" t="s">
        <v>1</v>
      </c>
      <c r="C1692" s="1" t="s">
        <v>2</v>
      </c>
      <c r="D1692" s="1" t="s">
        <v>3</v>
      </c>
      <c r="E1692" s="1" t="s">
        <v>4</v>
      </c>
      <c r="F1692" s="2" t="s">
        <v>5</v>
      </c>
      <c r="G1692" s="9" t="s">
        <v>40</v>
      </c>
      <c r="H1692" s="1" t="s">
        <v>6</v>
      </c>
      <c r="I1692" s="2" t="s">
        <v>7</v>
      </c>
      <c r="J1692" s="1" t="s">
        <v>8</v>
      </c>
      <c r="K1692" s="1" t="s">
        <v>9</v>
      </c>
    </row>
    <row r="1693" spans="1:11" x14ac:dyDescent="0.25">
      <c r="A1693" s="3">
        <v>45373</v>
      </c>
      <c r="B1693" t="s">
        <v>402</v>
      </c>
      <c r="C1693" t="s">
        <v>893</v>
      </c>
      <c r="D1693" t="s">
        <v>801</v>
      </c>
      <c r="E1693">
        <v>2019</v>
      </c>
      <c r="G1693" s="10" t="s">
        <v>802</v>
      </c>
      <c r="H1693" t="s">
        <v>803</v>
      </c>
      <c r="I1693" s="4">
        <v>60000</v>
      </c>
    </row>
    <row r="1694" spans="1:11" x14ac:dyDescent="0.25">
      <c r="H1694" t="s">
        <v>804</v>
      </c>
      <c r="I1694" s="4">
        <v>40000</v>
      </c>
    </row>
    <row r="1695" spans="1:11" x14ac:dyDescent="0.25">
      <c r="H1695" t="s">
        <v>805</v>
      </c>
      <c r="I1695" s="4">
        <v>60000</v>
      </c>
    </row>
    <row r="1696" spans="1:11" x14ac:dyDescent="0.25">
      <c r="H1696" t="s">
        <v>33</v>
      </c>
      <c r="I1696" s="4">
        <v>20000</v>
      </c>
    </row>
    <row r="1697" spans="1:11" x14ac:dyDescent="0.25">
      <c r="H1697" t="s">
        <v>806</v>
      </c>
      <c r="I1697" s="4">
        <v>80000</v>
      </c>
    </row>
    <row r="1698" spans="1:11" x14ac:dyDescent="0.25">
      <c r="H1698" t="s">
        <v>807</v>
      </c>
    </row>
    <row r="1700" spans="1:11" x14ac:dyDescent="0.25">
      <c r="H1700" t="s">
        <v>17</v>
      </c>
      <c r="I1700" s="4">
        <f>SUM(I1693:I1699)</f>
        <v>260000</v>
      </c>
    </row>
    <row r="1702" spans="1:11" x14ac:dyDescent="0.25">
      <c r="A1702" s="1" t="s">
        <v>0</v>
      </c>
      <c r="B1702" s="1" t="s">
        <v>1</v>
      </c>
      <c r="C1702" s="1" t="s">
        <v>2</v>
      </c>
      <c r="D1702" s="1" t="s">
        <v>3</v>
      </c>
      <c r="E1702" s="1" t="s">
        <v>4</v>
      </c>
      <c r="F1702" s="2" t="s">
        <v>5</v>
      </c>
      <c r="G1702" s="9" t="s">
        <v>40</v>
      </c>
      <c r="H1702" s="1" t="s">
        <v>6</v>
      </c>
      <c r="I1702" s="2" t="s">
        <v>7</v>
      </c>
      <c r="J1702" s="1" t="s">
        <v>8</v>
      </c>
      <c r="K1702" s="1" t="s">
        <v>9</v>
      </c>
    </row>
    <row r="1703" spans="1:11" x14ac:dyDescent="0.25">
      <c r="A1703" s="3">
        <v>45373</v>
      </c>
      <c r="B1703" t="s">
        <v>10</v>
      </c>
      <c r="C1703" t="s">
        <v>860</v>
      </c>
      <c r="D1703" t="s">
        <v>19</v>
      </c>
      <c r="E1703">
        <v>2022</v>
      </c>
      <c r="F1703" s="4">
        <v>21913</v>
      </c>
      <c r="G1703" s="10" t="s">
        <v>861</v>
      </c>
      <c r="H1703" t="s">
        <v>14</v>
      </c>
      <c r="I1703" s="4">
        <v>192000</v>
      </c>
    </row>
    <row r="1704" spans="1:11" x14ac:dyDescent="0.25">
      <c r="H1704" t="s">
        <v>685</v>
      </c>
      <c r="I1704" s="4">
        <v>40000</v>
      </c>
    </row>
    <row r="1705" spans="1:11" x14ac:dyDescent="0.25">
      <c r="H1705" t="s">
        <v>142</v>
      </c>
      <c r="I1705" s="4">
        <v>140000</v>
      </c>
    </row>
    <row r="1706" spans="1:11" x14ac:dyDescent="0.25">
      <c r="H1706" t="s">
        <v>15</v>
      </c>
      <c r="I1706" s="4">
        <v>46000</v>
      </c>
    </row>
    <row r="1707" spans="1:11" x14ac:dyDescent="0.25">
      <c r="H1707" t="s">
        <v>862</v>
      </c>
      <c r="I1707" s="4">
        <v>30000</v>
      </c>
    </row>
    <row r="1709" spans="1:11" x14ac:dyDescent="0.25">
      <c r="H1709" t="s">
        <v>17</v>
      </c>
      <c r="I1709" s="4">
        <f>SUM(I1703:I1708)</f>
        <v>448000</v>
      </c>
    </row>
    <row r="1711" spans="1:11" x14ac:dyDescent="0.25">
      <c r="A1711" s="1" t="s">
        <v>0</v>
      </c>
      <c r="B1711" s="1" t="s">
        <v>1</v>
      </c>
      <c r="C1711" s="1" t="s">
        <v>2</v>
      </c>
      <c r="D1711" s="1" t="s">
        <v>3</v>
      </c>
      <c r="E1711" s="1" t="s">
        <v>4</v>
      </c>
      <c r="F1711" s="2" t="s">
        <v>5</v>
      </c>
      <c r="G1711" s="9" t="s">
        <v>40</v>
      </c>
      <c r="H1711" s="1" t="s">
        <v>6</v>
      </c>
      <c r="I1711" s="2" t="s">
        <v>7</v>
      </c>
      <c r="J1711" s="1" t="s">
        <v>8</v>
      </c>
      <c r="K1711" s="1" t="s">
        <v>9</v>
      </c>
    </row>
    <row r="1712" spans="1:11" x14ac:dyDescent="0.25">
      <c r="A1712" s="3">
        <v>45373</v>
      </c>
      <c r="B1712" t="s">
        <v>363</v>
      </c>
      <c r="C1712" t="s">
        <v>863</v>
      </c>
      <c r="F1712" s="4">
        <v>67568</v>
      </c>
      <c r="H1712" t="s">
        <v>14</v>
      </c>
      <c r="I1712" s="4">
        <v>10000</v>
      </c>
    </row>
    <row r="1713" spans="1:11" x14ac:dyDescent="0.25">
      <c r="H1713" t="s">
        <v>15</v>
      </c>
      <c r="I1713" s="4">
        <v>15000</v>
      </c>
    </row>
    <row r="1714" spans="1:11" x14ac:dyDescent="0.25">
      <c r="H1714" t="s">
        <v>48</v>
      </c>
      <c r="I1714" s="4">
        <v>35000</v>
      </c>
    </row>
    <row r="1715" spans="1:11" x14ac:dyDescent="0.25">
      <c r="H1715" t="s">
        <v>173</v>
      </c>
      <c r="I1715" s="4">
        <v>5000</v>
      </c>
    </row>
    <row r="1716" spans="1:11" x14ac:dyDescent="0.25">
      <c r="H1716" t="s">
        <v>170</v>
      </c>
      <c r="I1716" s="4">
        <v>5000</v>
      </c>
    </row>
    <row r="1718" spans="1:11" x14ac:dyDescent="0.25">
      <c r="H1718" t="s">
        <v>17</v>
      </c>
      <c r="I1718" s="4">
        <f>SUM(I1712:I1717)</f>
        <v>70000</v>
      </c>
    </row>
    <row r="1720" spans="1:11" x14ac:dyDescent="0.25">
      <c r="A1720" s="1" t="s">
        <v>0</v>
      </c>
      <c r="B1720" s="1" t="s">
        <v>1</v>
      </c>
      <c r="C1720" s="1" t="s">
        <v>2</v>
      </c>
      <c r="D1720" s="1" t="s">
        <v>3</v>
      </c>
      <c r="E1720" s="1" t="s">
        <v>4</v>
      </c>
      <c r="F1720" s="2" t="s">
        <v>5</v>
      </c>
      <c r="G1720" s="9" t="s">
        <v>40</v>
      </c>
      <c r="H1720" s="1" t="s">
        <v>6</v>
      </c>
      <c r="I1720" s="2" t="s">
        <v>7</v>
      </c>
      <c r="J1720" s="1" t="s">
        <v>8</v>
      </c>
      <c r="K1720" s="1" t="s">
        <v>9</v>
      </c>
    </row>
    <row r="1721" spans="1:11" x14ac:dyDescent="0.25">
      <c r="A1721" s="3">
        <v>45373</v>
      </c>
      <c r="B1721" t="s">
        <v>864</v>
      </c>
      <c r="C1721" t="s">
        <v>865</v>
      </c>
      <c r="F1721" s="4">
        <v>74960</v>
      </c>
      <c r="H1721" t="s">
        <v>112</v>
      </c>
    </row>
    <row r="1722" spans="1:11" x14ac:dyDescent="0.25">
      <c r="H1722" t="s">
        <v>866</v>
      </c>
    </row>
    <row r="1724" spans="1:11" x14ac:dyDescent="0.25">
      <c r="H1724" t="s">
        <v>17</v>
      </c>
    </row>
    <row r="1726" spans="1:11" x14ac:dyDescent="0.25">
      <c r="A1726" s="1" t="s">
        <v>0</v>
      </c>
      <c r="B1726" s="1" t="s">
        <v>1</v>
      </c>
      <c r="C1726" s="1" t="s">
        <v>2</v>
      </c>
      <c r="D1726" s="1" t="s">
        <v>3</v>
      </c>
      <c r="E1726" s="1" t="s">
        <v>4</v>
      </c>
      <c r="F1726" s="2" t="s">
        <v>5</v>
      </c>
      <c r="G1726" s="9" t="s">
        <v>40</v>
      </c>
      <c r="H1726" s="1" t="s">
        <v>6</v>
      </c>
      <c r="I1726" s="2" t="s">
        <v>7</v>
      </c>
      <c r="J1726" s="1" t="s">
        <v>8</v>
      </c>
      <c r="K1726" s="1" t="s">
        <v>9</v>
      </c>
    </row>
    <row r="1727" spans="1:11" x14ac:dyDescent="0.25">
      <c r="A1727" s="3">
        <v>45374</v>
      </c>
      <c r="B1727" t="s">
        <v>867</v>
      </c>
      <c r="C1727" t="s">
        <v>868</v>
      </c>
      <c r="D1727" t="s">
        <v>26</v>
      </c>
      <c r="F1727" s="4">
        <v>50259</v>
      </c>
      <c r="G1727" s="10" t="s">
        <v>869</v>
      </c>
      <c r="H1727" t="s">
        <v>870</v>
      </c>
      <c r="I1727" s="4">
        <v>5000</v>
      </c>
    </row>
    <row r="1728" spans="1:11" x14ac:dyDescent="0.25">
      <c r="H1728" t="s">
        <v>14</v>
      </c>
      <c r="I1728" s="4">
        <v>144000</v>
      </c>
    </row>
    <row r="1729" spans="1:11" x14ac:dyDescent="0.25">
      <c r="H1729" t="s">
        <v>15</v>
      </c>
      <c r="I1729" s="4">
        <v>46000</v>
      </c>
    </row>
    <row r="1730" spans="1:11" x14ac:dyDescent="0.25">
      <c r="H1730" t="s">
        <v>16</v>
      </c>
      <c r="I1730" s="4">
        <v>30000</v>
      </c>
    </row>
    <row r="1732" spans="1:11" x14ac:dyDescent="0.25">
      <c r="H1732" t="s">
        <v>17</v>
      </c>
      <c r="I1732" s="4">
        <f>SUM(I1727:I1731)</f>
        <v>225000</v>
      </c>
    </row>
    <row r="1734" spans="1:11" x14ac:dyDescent="0.25">
      <c r="A1734" s="1" t="s">
        <v>0</v>
      </c>
      <c r="B1734" s="1" t="s">
        <v>1</v>
      </c>
      <c r="C1734" s="1" t="s">
        <v>2</v>
      </c>
      <c r="D1734" s="1" t="s">
        <v>3</v>
      </c>
      <c r="E1734" s="1" t="s">
        <v>4</v>
      </c>
      <c r="F1734" s="2" t="s">
        <v>5</v>
      </c>
      <c r="G1734" s="9" t="s">
        <v>40</v>
      </c>
      <c r="H1734" s="1" t="s">
        <v>6</v>
      </c>
      <c r="I1734" s="2" t="s">
        <v>7</v>
      </c>
      <c r="J1734" s="1" t="s">
        <v>8</v>
      </c>
      <c r="K1734" s="1" t="s">
        <v>9</v>
      </c>
    </row>
    <row r="1735" spans="1:11" x14ac:dyDescent="0.25">
      <c r="A1735" s="3">
        <v>45374</v>
      </c>
      <c r="B1735" t="s">
        <v>10</v>
      </c>
      <c r="C1735" t="s">
        <v>871</v>
      </c>
      <c r="D1735" t="s">
        <v>12</v>
      </c>
      <c r="E1735">
        <v>2012</v>
      </c>
      <c r="F1735" s="4">
        <v>69551</v>
      </c>
      <c r="G1735" s="10" t="s">
        <v>872</v>
      </c>
      <c r="H1735" t="s">
        <v>432</v>
      </c>
      <c r="I1735" s="4">
        <v>406000</v>
      </c>
    </row>
    <row r="1736" spans="1:11" x14ac:dyDescent="0.25">
      <c r="H1736" t="s">
        <v>693</v>
      </c>
      <c r="I1736" s="4">
        <v>110000</v>
      </c>
    </row>
    <row r="1737" spans="1:11" x14ac:dyDescent="0.25">
      <c r="H1737" t="s">
        <v>873</v>
      </c>
      <c r="I1737" s="4">
        <v>180000</v>
      </c>
    </row>
    <row r="1738" spans="1:11" x14ac:dyDescent="0.25">
      <c r="H1738" t="s">
        <v>37</v>
      </c>
      <c r="I1738" s="4">
        <v>320000</v>
      </c>
    </row>
    <row r="1739" spans="1:11" x14ac:dyDescent="0.25">
      <c r="H1739" t="s">
        <v>874</v>
      </c>
      <c r="I1739" s="4">
        <v>160000</v>
      </c>
    </row>
    <row r="1740" spans="1:11" x14ac:dyDescent="0.25">
      <c r="H1740" t="s">
        <v>875</v>
      </c>
      <c r="I1740" s="4">
        <v>30000</v>
      </c>
    </row>
    <row r="1741" spans="1:11" x14ac:dyDescent="0.25">
      <c r="H1741" t="s">
        <v>61</v>
      </c>
      <c r="I1741" s="4">
        <v>140000</v>
      </c>
    </row>
    <row r="1742" spans="1:11" x14ac:dyDescent="0.25">
      <c r="H1742" t="s">
        <v>287</v>
      </c>
      <c r="I1742" s="4">
        <v>15000</v>
      </c>
    </row>
    <row r="1743" spans="1:11" x14ac:dyDescent="0.25">
      <c r="H1743" t="s">
        <v>876</v>
      </c>
      <c r="I1743" s="4">
        <v>80000</v>
      </c>
    </row>
    <row r="1744" spans="1:11" x14ac:dyDescent="0.25">
      <c r="H1744" t="s">
        <v>877</v>
      </c>
      <c r="I1744" s="4">
        <v>60000</v>
      </c>
    </row>
    <row r="1745" spans="1:11" x14ac:dyDescent="0.25">
      <c r="H1745" t="s">
        <v>33</v>
      </c>
      <c r="I1745" s="4">
        <v>20000</v>
      </c>
    </row>
    <row r="1746" spans="1:11" x14ac:dyDescent="0.25">
      <c r="H1746" t="s">
        <v>453</v>
      </c>
      <c r="I1746" s="4">
        <v>90000</v>
      </c>
    </row>
    <row r="1748" spans="1:11" x14ac:dyDescent="0.25">
      <c r="H1748" t="s">
        <v>17</v>
      </c>
      <c r="I1748" s="4">
        <f>SUM(I1735:I1747)</f>
        <v>1611000</v>
      </c>
    </row>
    <row r="1750" spans="1:11" x14ac:dyDescent="0.25">
      <c r="A1750" s="1" t="s">
        <v>0</v>
      </c>
      <c r="B1750" s="1" t="s">
        <v>1</v>
      </c>
      <c r="C1750" s="1" t="s">
        <v>2</v>
      </c>
      <c r="D1750" s="1" t="s">
        <v>3</v>
      </c>
      <c r="E1750" s="1" t="s">
        <v>4</v>
      </c>
      <c r="F1750" s="2" t="s">
        <v>5</v>
      </c>
      <c r="G1750" s="9" t="s">
        <v>40</v>
      </c>
      <c r="H1750" s="1" t="s">
        <v>6</v>
      </c>
      <c r="I1750" s="2" t="s">
        <v>7</v>
      </c>
      <c r="J1750" s="1" t="s">
        <v>8</v>
      </c>
      <c r="K1750" s="1" t="s">
        <v>9</v>
      </c>
    </row>
    <row r="1751" spans="1:11" x14ac:dyDescent="0.25">
      <c r="A1751" s="3">
        <v>45374</v>
      </c>
      <c r="B1751" t="s">
        <v>201</v>
      </c>
      <c r="C1751" t="s">
        <v>882</v>
      </c>
      <c r="F1751" s="4">
        <v>18127</v>
      </c>
      <c r="G1751" s="10" t="s">
        <v>899</v>
      </c>
      <c r="H1751" t="s">
        <v>37</v>
      </c>
      <c r="I1751" s="4">
        <v>240000</v>
      </c>
    </row>
    <row r="1752" spans="1:11" x14ac:dyDescent="0.25">
      <c r="H1752" t="s">
        <v>14</v>
      </c>
      <c r="I1752" s="4">
        <v>57600</v>
      </c>
    </row>
    <row r="1753" spans="1:11" x14ac:dyDescent="0.25">
      <c r="H1753" t="s">
        <v>39</v>
      </c>
      <c r="I1753" s="4">
        <v>35000</v>
      </c>
    </row>
    <row r="1754" spans="1:11" x14ac:dyDescent="0.25">
      <c r="H1754" t="s">
        <v>307</v>
      </c>
      <c r="I1754" s="4">
        <v>15000</v>
      </c>
    </row>
    <row r="1756" spans="1:11" x14ac:dyDescent="0.25">
      <c r="H1756" t="s">
        <v>17</v>
      </c>
      <c r="I1756" s="4">
        <f>SUM(I1751:I1755)</f>
        <v>347600</v>
      </c>
    </row>
    <row r="1758" spans="1:11" x14ac:dyDescent="0.25">
      <c r="A1758" s="1" t="s">
        <v>0</v>
      </c>
      <c r="B1758" s="1" t="s">
        <v>1</v>
      </c>
      <c r="C1758" s="1" t="s">
        <v>2</v>
      </c>
      <c r="D1758" s="1" t="s">
        <v>3</v>
      </c>
      <c r="E1758" s="1" t="s">
        <v>4</v>
      </c>
      <c r="F1758" s="2" t="s">
        <v>5</v>
      </c>
      <c r="G1758" s="9" t="s">
        <v>40</v>
      </c>
      <c r="H1758" s="1" t="s">
        <v>6</v>
      </c>
      <c r="I1758" s="2" t="s">
        <v>7</v>
      </c>
      <c r="J1758" s="1" t="s">
        <v>8</v>
      </c>
      <c r="K1758" s="1" t="s">
        <v>9</v>
      </c>
    </row>
    <row r="1759" spans="1:11" x14ac:dyDescent="0.25">
      <c r="A1759" s="3">
        <v>45374</v>
      </c>
      <c r="B1759" t="s">
        <v>888</v>
      </c>
      <c r="C1759" t="s">
        <v>887</v>
      </c>
      <c r="D1759" t="s">
        <v>31</v>
      </c>
      <c r="E1759">
        <v>2022</v>
      </c>
      <c r="F1759" s="4">
        <v>17000</v>
      </c>
      <c r="G1759" s="10" t="s">
        <v>383</v>
      </c>
      <c r="H1759" t="s">
        <v>889</v>
      </c>
      <c r="I1759" s="4">
        <v>20000</v>
      </c>
    </row>
    <row r="1760" spans="1:11" x14ac:dyDescent="0.25">
      <c r="H1760" t="s">
        <v>890</v>
      </c>
      <c r="I1760" s="4">
        <v>70000</v>
      </c>
    </row>
    <row r="1761" spans="1:11" x14ac:dyDescent="0.25">
      <c r="H1761" t="s">
        <v>891</v>
      </c>
      <c r="I1761" s="4">
        <v>48000</v>
      </c>
    </row>
    <row r="1762" spans="1:11" x14ac:dyDescent="0.25">
      <c r="H1762" t="s">
        <v>892</v>
      </c>
      <c r="I1762" s="4">
        <v>25000</v>
      </c>
    </row>
    <row r="1764" spans="1:11" x14ac:dyDescent="0.25">
      <c r="H1764" t="s">
        <v>17</v>
      </c>
      <c r="I1764" s="4">
        <f>SUM(I1759:I1763)</f>
        <v>163000</v>
      </c>
    </row>
    <row r="1766" spans="1:11" x14ac:dyDescent="0.25">
      <c r="A1766" s="1" t="s">
        <v>0</v>
      </c>
      <c r="B1766" s="1" t="s">
        <v>1</v>
      </c>
      <c r="C1766" s="1" t="s">
        <v>2</v>
      </c>
      <c r="D1766" s="1" t="s">
        <v>3</v>
      </c>
      <c r="E1766" s="1" t="s">
        <v>4</v>
      </c>
      <c r="F1766" s="2" t="s">
        <v>5</v>
      </c>
      <c r="G1766" s="9" t="s">
        <v>40</v>
      </c>
      <c r="H1766" s="1" t="s">
        <v>6</v>
      </c>
      <c r="I1766" s="2" t="s">
        <v>7</v>
      </c>
      <c r="J1766" s="1" t="s">
        <v>8</v>
      </c>
      <c r="K1766" s="1" t="s">
        <v>9</v>
      </c>
    </row>
    <row r="1767" spans="1:11" x14ac:dyDescent="0.25">
      <c r="A1767" s="3">
        <v>45374</v>
      </c>
      <c r="B1767" t="s">
        <v>402</v>
      </c>
      <c r="C1767" t="s">
        <v>985</v>
      </c>
      <c r="D1767" t="s">
        <v>19</v>
      </c>
      <c r="H1767" t="s">
        <v>14</v>
      </c>
      <c r="I1767" s="4">
        <v>126000</v>
      </c>
    </row>
    <row r="1768" spans="1:11" x14ac:dyDescent="0.25">
      <c r="H1768" t="s">
        <v>986</v>
      </c>
      <c r="I1768" s="4">
        <v>10000</v>
      </c>
    </row>
    <row r="1769" spans="1:11" x14ac:dyDescent="0.25">
      <c r="H1769" t="s">
        <v>190</v>
      </c>
      <c r="I1769" s="4">
        <v>80000</v>
      </c>
    </row>
    <row r="1770" spans="1:11" x14ac:dyDescent="0.25">
      <c r="H1770" t="s">
        <v>33</v>
      </c>
      <c r="I1770" s="4">
        <v>20000</v>
      </c>
    </row>
    <row r="1772" spans="1:11" x14ac:dyDescent="0.25">
      <c r="H1772" t="s">
        <v>17</v>
      </c>
      <c r="I1772" s="4">
        <f>SUM(I1767:I1771)</f>
        <v>236000</v>
      </c>
    </row>
    <row r="1774" spans="1:11" x14ac:dyDescent="0.25">
      <c r="A1774" s="1" t="s">
        <v>0</v>
      </c>
      <c r="B1774" s="1" t="s">
        <v>1</v>
      </c>
      <c r="C1774" s="1" t="s">
        <v>2</v>
      </c>
      <c r="D1774" s="1" t="s">
        <v>3</v>
      </c>
      <c r="E1774" s="1" t="s">
        <v>4</v>
      </c>
      <c r="F1774" s="2" t="s">
        <v>5</v>
      </c>
      <c r="G1774" s="9" t="s">
        <v>40</v>
      </c>
      <c r="H1774" s="1" t="s">
        <v>6</v>
      </c>
      <c r="I1774" s="2" t="s">
        <v>7</v>
      </c>
      <c r="J1774" s="1" t="s">
        <v>8</v>
      </c>
      <c r="K1774" s="1" t="s">
        <v>9</v>
      </c>
    </row>
    <row r="1775" spans="1:11" x14ac:dyDescent="0.25">
      <c r="A1775" s="3">
        <v>45374</v>
      </c>
      <c r="B1775" t="s">
        <v>171</v>
      </c>
      <c r="C1775" t="s">
        <v>987</v>
      </c>
      <c r="D1775" t="s">
        <v>87</v>
      </c>
      <c r="G1775" s="10" t="s">
        <v>988</v>
      </c>
      <c r="H1775" t="s">
        <v>989</v>
      </c>
    </row>
    <row r="1776" spans="1:11" x14ac:dyDescent="0.25">
      <c r="H1776" t="s">
        <v>990</v>
      </c>
    </row>
    <row r="1777" spans="1:11" x14ac:dyDescent="0.25">
      <c r="H1777" t="s">
        <v>534</v>
      </c>
    </row>
    <row r="1778" spans="1:11" x14ac:dyDescent="0.25">
      <c r="H1778" t="s">
        <v>991</v>
      </c>
    </row>
    <row r="1779" spans="1:11" x14ac:dyDescent="0.25">
      <c r="H1779" t="s">
        <v>106</v>
      </c>
    </row>
    <row r="1780" spans="1:11" x14ac:dyDescent="0.25">
      <c r="H1780" t="s">
        <v>33</v>
      </c>
    </row>
    <row r="1782" spans="1:11" x14ac:dyDescent="0.25">
      <c r="H1782" t="s">
        <v>17</v>
      </c>
    </row>
    <row r="1784" spans="1:11" x14ac:dyDescent="0.25">
      <c r="A1784" s="1" t="s">
        <v>0</v>
      </c>
      <c r="B1784" s="1" t="s">
        <v>1</v>
      </c>
      <c r="C1784" s="1" t="s">
        <v>2</v>
      </c>
      <c r="D1784" s="1" t="s">
        <v>3</v>
      </c>
      <c r="E1784" s="1" t="s">
        <v>4</v>
      </c>
      <c r="F1784" s="2" t="s">
        <v>5</v>
      </c>
      <c r="G1784" s="9" t="s">
        <v>40</v>
      </c>
      <c r="H1784" s="1" t="s">
        <v>6</v>
      </c>
      <c r="I1784" s="2" t="s">
        <v>7</v>
      </c>
      <c r="J1784" s="1" t="s">
        <v>8</v>
      </c>
      <c r="K1784" s="1" t="s">
        <v>9</v>
      </c>
    </row>
    <row r="1785" spans="1:11" x14ac:dyDescent="0.25">
      <c r="A1785" s="3">
        <v>45375</v>
      </c>
      <c r="B1785" t="s">
        <v>10</v>
      </c>
      <c r="G1785" s="10" t="s">
        <v>992</v>
      </c>
      <c r="H1785" t="s">
        <v>61</v>
      </c>
      <c r="I1785" s="4">
        <v>140000</v>
      </c>
    </row>
    <row r="1786" spans="1:11" x14ac:dyDescent="0.25">
      <c r="H1786" t="s">
        <v>20</v>
      </c>
      <c r="I1786" s="4">
        <v>140000</v>
      </c>
    </row>
    <row r="1787" spans="1:11" x14ac:dyDescent="0.25">
      <c r="H1787" t="s">
        <v>993</v>
      </c>
      <c r="I1787" s="4">
        <v>120000</v>
      </c>
    </row>
    <row r="1788" spans="1:11" x14ac:dyDescent="0.25">
      <c r="H1788" t="s">
        <v>994</v>
      </c>
      <c r="I1788" s="4">
        <v>70000</v>
      </c>
    </row>
    <row r="1789" spans="1:11" x14ac:dyDescent="0.25">
      <c r="H1789" t="s">
        <v>59</v>
      </c>
      <c r="I1789" s="4">
        <v>290000</v>
      </c>
    </row>
    <row r="1790" spans="1:11" x14ac:dyDescent="0.25">
      <c r="H1790" t="s">
        <v>652</v>
      </c>
      <c r="I1790" s="4">
        <v>35000</v>
      </c>
    </row>
    <row r="1791" spans="1:11" x14ac:dyDescent="0.25">
      <c r="H1791" t="s">
        <v>653</v>
      </c>
      <c r="I1791" s="4">
        <v>20000</v>
      </c>
    </row>
    <row r="1793" spans="1:11" x14ac:dyDescent="0.25">
      <c r="H1793" t="s">
        <v>17</v>
      </c>
      <c r="I1793" s="4">
        <f>SUM(I1785:I1792)</f>
        <v>815000</v>
      </c>
    </row>
    <row r="1795" spans="1:11" x14ac:dyDescent="0.25">
      <c r="A1795" s="1" t="s">
        <v>0</v>
      </c>
      <c r="B1795" s="1" t="s">
        <v>1</v>
      </c>
      <c r="C1795" s="1" t="s">
        <v>2</v>
      </c>
      <c r="D1795" s="1" t="s">
        <v>3</v>
      </c>
      <c r="E1795" s="1" t="s">
        <v>4</v>
      </c>
      <c r="F1795" s="2" t="s">
        <v>5</v>
      </c>
      <c r="G1795" s="9" t="s">
        <v>40</v>
      </c>
      <c r="H1795" s="1" t="s">
        <v>6</v>
      </c>
      <c r="I1795" s="2" t="s">
        <v>7</v>
      </c>
      <c r="J1795" s="1" t="s">
        <v>8</v>
      </c>
      <c r="K1795" s="1" t="s">
        <v>9</v>
      </c>
    </row>
    <row r="1796" spans="1:11" x14ac:dyDescent="0.25">
      <c r="A1796" s="3">
        <v>45376</v>
      </c>
      <c r="B1796" t="s">
        <v>10</v>
      </c>
      <c r="C1796" t="s">
        <v>883</v>
      </c>
      <c r="D1796" t="s">
        <v>762</v>
      </c>
      <c r="G1796" s="10" t="s">
        <v>884</v>
      </c>
      <c r="H1796" t="s">
        <v>885</v>
      </c>
      <c r="I1796" s="4">
        <v>450000</v>
      </c>
    </row>
    <row r="1797" spans="1:11" x14ac:dyDescent="0.25">
      <c r="H1797" t="s">
        <v>886</v>
      </c>
      <c r="I1797" s="4">
        <v>276000</v>
      </c>
    </row>
    <row r="1798" spans="1:11" x14ac:dyDescent="0.25">
      <c r="H1798" t="s">
        <v>97</v>
      </c>
      <c r="I1798" s="4">
        <v>40000</v>
      </c>
    </row>
    <row r="1800" spans="1:11" x14ac:dyDescent="0.25">
      <c r="H1800" t="s">
        <v>17</v>
      </c>
      <c r="I1800" s="4">
        <f>SUM(I1796:I1799)</f>
        <v>766000</v>
      </c>
    </row>
    <row r="1802" spans="1:11" x14ac:dyDescent="0.25">
      <c r="A1802" s="1" t="s">
        <v>0</v>
      </c>
      <c r="B1802" s="1" t="s">
        <v>1</v>
      </c>
      <c r="C1802" s="1" t="s">
        <v>2</v>
      </c>
      <c r="D1802" s="1" t="s">
        <v>3</v>
      </c>
      <c r="E1802" s="1" t="s">
        <v>4</v>
      </c>
      <c r="F1802" s="2" t="s">
        <v>5</v>
      </c>
      <c r="G1802" s="9" t="s">
        <v>40</v>
      </c>
      <c r="H1802" s="1" t="s">
        <v>6</v>
      </c>
      <c r="I1802" s="2" t="s">
        <v>7</v>
      </c>
      <c r="J1802" s="1" t="s">
        <v>8</v>
      </c>
      <c r="K1802" s="1" t="s">
        <v>9</v>
      </c>
    </row>
    <row r="1803" spans="1:11" x14ac:dyDescent="0.25">
      <c r="A1803" s="3">
        <v>45407</v>
      </c>
      <c r="B1803" t="s">
        <v>1220</v>
      </c>
      <c r="C1803" t="s">
        <v>724</v>
      </c>
      <c r="E1803">
        <v>2012</v>
      </c>
      <c r="F1803" s="4">
        <v>78895</v>
      </c>
      <c r="G1803" s="10" t="s">
        <v>1221</v>
      </c>
      <c r="H1803" t="s">
        <v>1222</v>
      </c>
    </row>
    <row r="1805" spans="1:11" x14ac:dyDescent="0.25">
      <c r="H1805" t="s">
        <v>17</v>
      </c>
    </row>
    <row r="1807" spans="1:11" x14ac:dyDescent="0.25">
      <c r="A1807" s="1" t="s">
        <v>0</v>
      </c>
      <c r="B1807" s="1" t="s">
        <v>1</v>
      </c>
      <c r="C1807" s="1" t="s">
        <v>2</v>
      </c>
      <c r="D1807" s="1" t="s">
        <v>3</v>
      </c>
      <c r="E1807" s="1" t="s">
        <v>4</v>
      </c>
      <c r="F1807" s="2" t="s">
        <v>5</v>
      </c>
      <c r="G1807" s="9" t="s">
        <v>40</v>
      </c>
      <c r="H1807" s="1" t="s">
        <v>6</v>
      </c>
      <c r="I1807" s="2" t="s">
        <v>7</v>
      </c>
      <c r="J1807" s="1" t="s">
        <v>8</v>
      </c>
      <c r="K1807" s="1" t="s">
        <v>9</v>
      </c>
    </row>
    <row r="1808" spans="1:11" x14ac:dyDescent="0.25">
      <c r="A1808" s="3">
        <v>45376</v>
      </c>
      <c r="B1808" t="s">
        <v>10</v>
      </c>
      <c r="C1808" t="s">
        <v>903</v>
      </c>
      <c r="D1808" t="s">
        <v>26</v>
      </c>
      <c r="F1808" s="4">
        <v>53904</v>
      </c>
      <c r="G1808" s="10" t="s">
        <v>904</v>
      </c>
      <c r="H1808" t="s">
        <v>20</v>
      </c>
    </row>
    <row r="1809" spans="1:11" x14ac:dyDescent="0.25">
      <c r="H1809" t="s">
        <v>180</v>
      </c>
    </row>
    <row r="1810" spans="1:11" x14ac:dyDescent="0.25">
      <c r="H1810" t="s">
        <v>320</v>
      </c>
    </row>
    <row r="1812" spans="1:11" x14ac:dyDescent="0.25">
      <c r="H1812" t="s">
        <v>17</v>
      </c>
      <c r="I1812" s="4">
        <v>670000</v>
      </c>
    </row>
    <row r="1814" spans="1:11" x14ac:dyDescent="0.25">
      <c r="A1814" s="1" t="s">
        <v>0</v>
      </c>
      <c r="B1814" s="1" t="s">
        <v>1</v>
      </c>
      <c r="C1814" s="1" t="s">
        <v>2</v>
      </c>
      <c r="D1814" s="1" t="s">
        <v>3</v>
      </c>
      <c r="E1814" s="1" t="s">
        <v>4</v>
      </c>
      <c r="F1814" s="2" t="s">
        <v>5</v>
      </c>
      <c r="G1814" s="9" t="s">
        <v>40</v>
      </c>
      <c r="H1814" s="1" t="s">
        <v>6</v>
      </c>
      <c r="I1814" s="2" t="s">
        <v>7</v>
      </c>
      <c r="J1814" s="1" t="s">
        <v>8</v>
      </c>
      <c r="K1814" s="1" t="s">
        <v>9</v>
      </c>
    </row>
    <row r="1815" spans="1:11" x14ac:dyDescent="0.25">
      <c r="A1815" s="3">
        <v>45376</v>
      </c>
      <c r="B1815" t="s">
        <v>10</v>
      </c>
      <c r="C1815" t="s">
        <v>901</v>
      </c>
      <c r="D1815" t="s">
        <v>26</v>
      </c>
      <c r="E1815">
        <v>2014</v>
      </c>
      <c r="F1815" s="4">
        <v>95500</v>
      </c>
      <c r="G1815" s="10" t="s">
        <v>906</v>
      </c>
      <c r="H1815" t="s">
        <v>907</v>
      </c>
      <c r="I1815" s="4">
        <v>180000</v>
      </c>
    </row>
    <row r="1816" spans="1:11" x14ac:dyDescent="0.25">
      <c r="H1816" t="s">
        <v>33</v>
      </c>
      <c r="I1816" s="4">
        <v>20000</v>
      </c>
    </row>
    <row r="1818" spans="1:11" x14ac:dyDescent="0.25">
      <c r="H1818" t="s">
        <v>17</v>
      </c>
      <c r="I1818" s="4">
        <f>SUM(I1815:I1817)</f>
        <v>200000</v>
      </c>
    </row>
    <row r="1820" spans="1:11" x14ac:dyDescent="0.25">
      <c r="A1820" s="1" t="s">
        <v>0</v>
      </c>
      <c r="B1820" s="1" t="s">
        <v>1</v>
      </c>
      <c r="C1820" s="1" t="s">
        <v>2</v>
      </c>
      <c r="D1820" s="1" t="s">
        <v>3</v>
      </c>
      <c r="E1820" s="1" t="s">
        <v>4</v>
      </c>
      <c r="F1820" s="2" t="s">
        <v>5</v>
      </c>
      <c r="G1820" s="9" t="s">
        <v>40</v>
      </c>
      <c r="H1820" s="1" t="s">
        <v>6</v>
      </c>
      <c r="I1820" s="2" t="s">
        <v>7</v>
      </c>
      <c r="J1820" s="1" t="s">
        <v>8</v>
      </c>
      <c r="K1820" s="1" t="s">
        <v>9</v>
      </c>
    </row>
    <row r="1821" spans="1:11" x14ac:dyDescent="0.25">
      <c r="A1821" s="3">
        <v>45376</v>
      </c>
      <c r="B1821" t="s">
        <v>10</v>
      </c>
      <c r="C1821" t="s">
        <v>908</v>
      </c>
      <c r="D1821" t="s">
        <v>87</v>
      </c>
      <c r="E1821">
        <v>2015</v>
      </c>
      <c r="F1821" s="4">
        <v>53292</v>
      </c>
      <c r="G1821" s="10" t="s">
        <v>909</v>
      </c>
      <c r="H1821" t="s">
        <v>106</v>
      </c>
    </row>
    <row r="1823" spans="1:11" x14ac:dyDescent="0.25">
      <c r="H1823" t="s">
        <v>17</v>
      </c>
    </row>
    <row r="1825" spans="1:11" x14ac:dyDescent="0.25">
      <c r="A1825" s="1" t="s">
        <v>0</v>
      </c>
      <c r="B1825" s="1" t="s">
        <v>1</v>
      </c>
      <c r="C1825" s="1" t="s">
        <v>2</v>
      </c>
      <c r="D1825" s="1" t="s">
        <v>3</v>
      </c>
      <c r="E1825" s="1" t="s">
        <v>4</v>
      </c>
      <c r="F1825" s="2" t="s">
        <v>5</v>
      </c>
      <c r="G1825" s="9" t="s">
        <v>40</v>
      </c>
      <c r="H1825" s="1" t="s">
        <v>6</v>
      </c>
      <c r="I1825" s="2" t="s">
        <v>7</v>
      </c>
      <c r="J1825" s="1" t="s">
        <v>8</v>
      </c>
      <c r="K1825" s="1" t="s">
        <v>9</v>
      </c>
    </row>
    <row r="1826" spans="1:11" x14ac:dyDescent="0.25">
      <c r="A1826" s="3">
        <v>45377</v>
      </c>
      <c r="B1826" t="s">
        <v>247</v>
      </c>
      <c r="C1826" t="s">
        <v>910</v>
      </c>
      <c r="D1826" t="s">
        <v>26</v>
      </c>
      <c r="F1826" s="4">
        <v>35983</v>
      </c>
      <c r="G1826" s="10" t="s">
        <v>911</v>
      </c>
      <c r="H1826" t="s">
        <v>14</v>
      </c>
    </row>
    <row r="1827" spans="1:11" x14ac:dyDescent="0.25">
      <c r="H1827" t="s">
        <v>627</v>
      </c>
    </row>
    <row r="1828" spans="1:11" x14ac:dyDescent="0.25">
      <c r="H1828" t="s">
        <v>15</v>
      </c>
    </row>
    <row r="1830" spans="1:11" x14ac:dyDescent="0.25">
      <c r="H1830" t="s">
        <v>17</v>
      </c>
    </row>
    <row r="1832" spans="1:11" x14ac:dyDescent="0.25">
      <c r="A1832" s="1" t="s">
        <v>0</v>
      </c>
      <c r="B1832" s="1" t="s">
        <v>1</v>
      </c>
      <c r="C1832" s="1" t="s">
        <v>2</v>
      </c>
      <c r="D1832" s="1" t="s">
        <v>3</v>
      </c>
      <c r="E1832" s="1" t="s">
        <v>4</v>
      </c>
      <c r="F1832" s="2" t="s">
        <v>5</v>
      </c>
      <c r="G1832" s="9" t="s">
        <v>40</v>
      </c>
      <c r="H1832" s="1" t="s">
        <v>6</v>
      </c>
      <c r="I1832" s="2" t="s">
        <v>7</v>
      </c>
      <c r="J1832" s="1" t="s">
        <v>8</v>
      </c>
      <c r="K1832" s="1" t="s">
        <v>9</v>
      </c>
    </row>
    <row r="1833" spans="1:11" x14ac:dyDescent="0.25">
      <c r="A1833" s="3">
        <v>45377</v>
      </c>
      <c r="B1833" t="s">
        <v>10</v>
      </c>
      <c r="C1833" t="s">
        <v>912</v>
      </c>
      <c r="D1833" t="s">
        <v>87</v>
      </c>
      <c r="E1833">
        <v>2013</v>
      </c>
      <c r="F1833" s="4">
        <v>45071</v>
      </c>
      <c r="G1833" s="10" t="s">
        <v>913</v>
      </c>
      <c r="H1833" t="s">
        <v>59</v>
      </c>
      <c r="I1833" s="4">
        <v>320000</v>
      </c>
    </row>
    <row r="1834" spans="1:11" x14ac:dyDescent="0.25">
      <c r="H1834" t="s">
        <v>726</v>
      </c>
      <c r="I1834" s="4">
        <v>272000</v>
      </c>
    </row>
    <row r="1835" spans="1:11" x14ac:dyDescent="0.25">
      <c r="H1835" t="s">
        <v>15</v>
      </c>
      <c r="I1835" s="4">
        <v>46000</v>
      </c>
    </row>
    <row r="1836" spans="1:11" x14ac:dyDescent="0.25">
      <c r="H1836" t="s">
        <v>914</v>
      </c>
      <c r="I1836" s="4">
        <v>80000</v>
      </c>
    </row>
    <row r="1837" spans="1:11" x14ac:dyDescent="0.25">
      <c r="H1837" t="s">
        <v>320</v>
      </c>
      <c r="I1837" s="4">
        <v>290000</v>
      </c>
    </row>
    <row r="1838" spans="1:11" x14ac:dyDescent="0.25">
      <c r="H1838" t="s">
        <v>33</v>
      </c>
      <c r="I1838" s="4">
        <v>20000</v>
      </c>
    </row>
    <row r="1839" spans="1:11" x14ac:dyDescent="0.25">
      <c r="H1839" t="s">
        <v>48</v>
      </c>
      <c r="I1839" s="4">
        <v>80000</v>
      </c>
    </row>
    <row r="1840" spans="1:11" x14ac:dyDescent="0.25">
      <c r="H1840" t="s">
        <v>27</v>
      </c>
      <c r="I1840" s="4">
        <v>120000</v>
      </c>
    </row>
    <row r="1842" spans="1:11" x14ac:dyDescent="0.25">
      <c r="H1842" t="s">
        <v>17</v>
      </c>
      <c r="I1842" s="4">
        <f>SUM(I1833:I1841)</f>
        <v>1228000</v>
      </c>
    </row>
    <row r="1844" spans="1:11" x14ac:dyDescent="0.25">
      <c r="A1844" s="1" t="s">
        <v>0</v>
      </c>
      <c r="B1844" s="1" t="s">
        <v>1</v>
      </c>
      <c r="C1844" s="1" t="s">
        <v>2</v>
      </c>
      <c r="D1844" s="1" t="s">
        <v>3</v>
      </c>
      <c r="E1844" s="1" t="s">
        <v>4</v>
      </c>
      <c r="F1844" s="2" t="s">
        <v>5</v>
      </c>
      <c r="G1844" s="9" t="s">
        <v>40</v>
      </c>
      <c r="H1844" s="1" t="s">
        <v>6</v>
      </c>
      <c r="I1844" s="2" t="s">
        <v>7</v>
      </c>
      <c r="J1844" s="1" t="s">
        <v>8</v>
      </c>
      <c r="K1844" s="1" t="s">
        <v>9</v>
      </c>
    </row>
    <row r="1845" spans="1:11" x14ac:dyDescent="0.25">
      <c r="A1845" s="3">
        <v>45377</v>
      </c>
      <c r="B1845" t="s">
        <v>205</v>
      </c>
      <c r="C1845" t="s">
        <v>206</v>
      </c>
      <c r="D1845" t="s">
        <v>87</v>
      </c>
      <c r="F1845" s="4">
        <v>80624</v>
      </c>
      <c r="G1845" s="10" t="s">
        <v>905</v>
      </c>
      <c r="H1845" t="s">
        <v>47</v>
      </c>
      <c r="I1845" s="4">
        <v>180000</v>
      </c>
    </row>
    <row r="1846" spans="1:11" x14ac:dyDescent="0.25">
      <c r="H1846" t="s">
        <v>432</v>
      </c>
      <c r="I1846" s="4">
        <v>250000</v>
      </c>
    </row>
    <row r="1847" spans="1:11" x14ac:dyDescent="0.25">
      <c r="H1847" t="s">
        <v>16</v>
      </c>
      <c r="I1847" s="4">
        <v>180000</v>
      </c>
    </row>
    <row r="1848" spans="1:11" x14ac:dyDescent="0.25">
      <c r="H1848" t="s">
        <v>33</v>
      </c>
      <c r="I1848" s="4">
        <v>20000</v>
      </c>
    </row>
    <row r="1850" spans="1:11" x14ac:dyDescent="0.25">
      <c r="H1850" t="s">
        <v>17</v>
      </c>
      <c r="I1850" s="4">
        <f>SUM(I1845:I1849)</f>
        <v>630000</v>
      </c>
    </row>
    <row r="1852" spans="1:11" x14ac:dyDescent="0.25">
      <c r="A1852" s="1" t="s">
        <v>0</v>
      </c>
      <c r="B1852" s="1" t="s">
        <v>1</v>
      </c>
      <c r="C1852" s="1" t="s">
        <v>2</v>
      </c>
      <c r="D1852" s="1" t="s">
        <v>3</v>
      </c>
      <c r="E1852" s="1" t="s">
        <v>4</v>
      </c>
      <c r="F1852" s="2" t="s">
        <v>5</v>
      </c>
      <c r="G1852" s="9" t="s">
        <v>40</v>
      </c>
      <c r="H1852" s="1" t="s">
        <v>6</v>
      </c>
      <c r="I1852" s="2" t="s">
        <v>7</v>
      </c>
      <c r="J1852" s="1" t="s">
        <v>8</v>
      </c>
      <c r="K1852" s="1" t="s">
        <v>9</v>
      </c>
    </row>
    <row r="1853" spans="1:11" x14ac:dyDescent="0.25">
      <c r="A1853" s="3">
        <v>45377</v>
      </c>
      <c r="B1853" t="s">
        <v>995</v>
      </c>
      <c r="C1853" t="s">
        <v>996</v>
      </c>
      <c r="D1853" t="s">
        <v>19</v>
      </c>
      <c r="E1853">
        <v>2018</v>
      </c>
      <c r="G1853" s="10" t="s">
        <v>997</v>
      </c>
      <c r="H1853" t="s">
        <v>721</v>
      </c>
    </row>
    <row r="1855" spans="1:11" x14ac:dyDescent="0.25">
      <c r="H1855" t="s">
        <v>17</v>
      </c>
    </row>
    <row r="1857" spans="1:11" x14ac:dyDescent="0.25">
      <c r="A1857" s="1" t="s">
        <v>0</v>
      </c>
      <c r="B1857" s="1" t="s">
        <v>1</v>
      </c>
      <c r="C1857" s="1" t="s">
        <v>2</v>
      </c>
      <c r="D1857" s="1" t="s">
        <v>3</v>
      </c>
      <c r="E1857" s="1" t="s">
        <v>4</v>
      </c>
      <c r="F1857" s="2" t="s">
        <v>5</v>
      </c>
      <c r="G1857" s="9" t="s">
        <v>40</v>
      </c>
      <c r="H1857" s="1" t="s">
        <v>6</v>
      </c>
      <c r="I1857" s="2" t="s">
        <v>7</v>
      </c>
      <c r="J1857" s="1" t="s">
        <v>8</v>
      </c>
      <c r="K1857" s="1" t="s">
        <v>9</v>
      </c>
    </row>
    <row r="1858" spans="1:11" x14ac:dyDescent="0.25">
      <c r="A1858" s="3">
        <v>45377</v>
      </c>
      <c r="B1858" t="s">
        <v>521</v>
      </c>
      <c r="C1858" t="s">
        <v>998</v>
      </c>
      <c r="D1858" t="s">
        <v>19</v>
      </c>
      <c r="G1858" s="10" t="s">
        <v>999</v>
      </c>
      <c r="H1858" t="s">
        <v>266</v>
      </c>
      <c r="I1858" s="4">
        <v>220000</v>
      </c>
    </row>
    <row r="1859" spans="1:11" x14ac:dyDescent="0.25">
      <c r="H1859" t="s">
        <v>106</v>
      </c>
      <c r="I1859" s="4">
        <v>150000</v>
      </c>
    </row>
    <row r="1861" spans="1:11" x14ac:dyDescent="0.25">
      <c r="H1861" t="s">
        <v>17</v>
      </c>
      <c r="I1861" s="4">
        <f>SUM(I1858:I1860)</f>
        <v>370000</v>
      </c>
    </row>
    <row r="1863" spans="1:11" x14ac:dyDescent="0.25">
      <c r="A1863" s="1" t="s">
        <v>0</v>
      </c>
      <c r="B1863" s="1" t="s">
        <v>1</v>
      </c>
      <c r="C1863" s="1" t="s">
        <v>2</v>
      </c>
      <c r="D1863" s="1" t="s">
        <v>3</v>
      </c>
      <c r="E1863" s="1" t="s">
        <v>4</v>
      </c>
      <c r="F1863" s="2" t="s">
        <v>5</v>
      </c>
      <c r="G1863" s="9" t="s">
        <v>40</v>
      </c>
      <c r="H1863" s="1" t="s">
        <v>6</v>
      </c>
      <c r="I1863" s="2" t="s">
        <v>7</v>
      </c>
      <c r="J1863" s="1" t="s">
        <v>8</v>
      </c>
      <c r="K1863" s="1" t="s">
        <v>9</v>
      </c>
    </row>
    <row r="1864" spans="1:11" x14ac:dyDescent="0.25">
      <c r="A1864" s="3">
        <v>45378</v>
      </c>
      <c r="B1864" t="s">
        <v>894</v>
      </c>
      <c r="C1864" t="s">
        <v>895</v>
      </c>
      <c r="D1864" t="s">
        <v>544</v>
      </c>
      <c r="E1864">
        <v>2011</v>
      </c>
      <c r="G1864" s="10" t="s">
        <v>545</v>
      </c>
      <c r="H1864" t="s">
        <v>37</v>
      </c>
      <c r="I1864" s="4">
        <v>250000</v>
      </c>
    </row>
    <row r="1865" spans="1:11" x14ac:dyDescent="0.25">
      <c r="H1865" t="s">
        <v>33</v>
      </c>
      <c r="I1865" s="4">
        <v>20000</v>
      </c>
    </row>
    <row r="1867" spans="1:11" x14ac:dyDescent="0.25">
      <c r="H1867" t="s">
        <v>17</v>
      </c>
      <c r="I1867" s="4">
        <f>SUM(I1864:I1866)</f>
        <v>270000</v>
      </c>
    </row>
    <row r="1869" spans="1:11" x14ac:dyDescent="0.25">
      <c r="A1869" s="1" t="s">
        <v>0</v>
      </c>
      <c r="B1869" s="1" t="s">
        <v>1</v>
      </c>
      <c r="C1869" s="1" t="s">
        <v>2</v>
      </c>
      <c r="D1869" s="1" t="s">
        <v>3</v>
      </c>
      <c r="E1869" s="1" t="s">
        <v>4</v>
      </c>
      <c r="F1869" s="2" t="s">
        <v>5</v>
      </c>
      <c r="G1869" s="9" t="s">
        <v>40</v>
      </c>
      <c r="H1869" s="1" t="s">
        <v>6</v>
      </c>
      <c r="I1869" s="2" t="s">
        <v>7</v>
      </c>
      <c r="J1869" s="1" t="s">
        <v>8</v>
      </c>
      <c r="K1869" s="1" t="s">
        <v>9</v>
      </c>
    </row>
    <row r="1870" spans="1:11" x14ac:dyDescent="0.25">
      <c r="A1870" s="3">
        <v>45378</v>
      </c>
      <c r="B1870" t="s">
        <v>896</v>
      </c>
      <c r="C1870" t="s">
        <v>897</v>
      </c>
      <c r="D1870" t="s">
        <v>31</v>
      </c>
      <c r="E1870">
        <v>2014</v>
      </c>
      <c r="G1870" s="10" t="s">
        <v>898</v>
      </c>
      <c r="H1870" t="s">
        <v>37</v>
      </c>
      <c r="I1870" s="4">
        <v>290000</v>
      </c>
    </row>
    <row r="1871" spans="1:11" x14ac:dyDescent="0.25">
      <c r="H1871" t="s">
        <v>50</v>
      </c>
      <c r="I1871" s="4">
        <v>120000</v>
      </c>
    </row>
    <row r="1872" spans="1:11" x14ac:dyDescent="0.25">
      <c r="H1872" t="s">
        <v>14</v>
      </c>
      <c r="I1872" s="4">
        <v>100000</v>
      </c>
    </row>
    <row r="1873" spans="1:11" x14ac:dyDescent="0.25">
      <c r="H1873" t="s">
        <v>15</v>
      </c>
      <c r="I1873" s="4">
        <v>58000</v>
      </c>
    </row>
    <row r="1874" spans="1:11" x14ac:dyDescent="0.25">
      <c r="H1874" t="s">
        <v>48</v>
      </c>
      <c r="I1874" s="4">
        <v>80000</v>
      </c>
    </row>
    <row r="1875" spans="1:11" x14ac:dyDescent="0.25">
      <c r="H1875" t="s">
        <v>33</v>
      </c>
      <c r="I1875" s="4">
        <v>20000</v>
      </c>
    </row>
    <row r="1876" spans="1:11" x14ac:dyDescent="0.25">
      <c r="H1876" t="s">
        <v>112</v>
      </c>
      <c r="I1876" s="4">
        <v>80000</v>
      </c>
    </row>
    <row r="1877" spans="1:11" x14ac:dyDescent="0.25">
      <c r="H1877" t="s">
        <v>102</v>
      </c>
      <c r="I1877" s="4">
        <v>35000</v>
      </c>
    </row>
    <row r="1878" spans="1:11" x14ac:dyDescent="0.25">
      <c r="H1878" t="s">
        <v>776</v>
      </c>
      <c r="I1878" s="4">
        <v>15000</v>
      </c>
    </row>
    <row r="1880" spans="1:11" x14ac:dyDescent="0.25">
      <c r="H1880" t="s">
        <v>17</v>
      </c>
      <c r="I1880" s="4">
        <f>SUM(I1870:I1879)</f>
        <v>798000</v>
      </c>
    </row>
    <row r="1882" spans="1:11" x14ac:dyDescent="0.25">
      <c r="A1882" s="1" t="s">
        <v>0</v>
      </c>
      <c r="B1882" s="1" t="s">
        <v>1</v>
      </c>
      <c r="C1882" s="1" t="s">
        <v>2</v>
      </c>
      <c r="D1882" s="1" t="s">
        <v>3</v>
      </c>
      <c r="E1882" s="1" t="s">
        <v>4</v>
      </c>
      <c r="F1882" s="2" t="s">
        <v>5</v>
      </c>
      <c r="G1882" s="9" t="s">
        <v>40</v>
      </c>
      <c r="H1882" s="1" t="s">
        <v>6</v>
      </c>
      <c r="I1882" s="2" t="s">
        <v>7</v>
      </c>
      <c r="J1882" s="1" t="s">
        <v>8</v>
      </c>
      <c r="K1882" s="1" t="s">
        <v>9</v>
      </c>
    </row>
    <row r="1883" spans="1:11" x14ac:dyDescent="0.25">
      <c r="A1883" s="3">
        <v>45378</v>
      </c>
      <c r="B1883" t="s">
        <v>363</v>
      </c>
      <c r="D1883" t="s">
        <v>19</v>
      </c>
      <c r="E1883">
        <v>2018</v>
      </c>
      <c r="G1883" s="10" t="s">
        <v>900</v>
      </c>
      <c r="H1883" t="s">
        <v>266</v>
      </c>
      <c r="I1883" s="4">
        <v>220000</v>
      </c>
    </row>
    <row r="1884" spans="1:11" x14ac:dyDescent="0.25">
      <c r="H1884" t="s">
        <v>14</v>
      </c>
      <c r="I1884" s="4">
        <v>40000</v>
      </c>
    </row>
    <row r="1885" spans="1:11" x14ac:dyDescent="0.25">
      <c r="H1885" t="s">
        <v>33</v>
      </c>
      <c r="I1885" s="4">
        <v>20000</v>
      </c>
    </row>
    <row r="1886" spans="1:11" x14ac:dyDescent="0.25">
      <c r="H1886" t="s">
        <v>15</v>
      </c>
      <c r="I1886" s="4">
        <v>16000</v>
      </c>
    </row>
    <row r="1887" spans="1:11" x14ac:dyDescent="0.25">
      <c r="H1887" t="s">
        <v>106</v>
      </c>
      <c r="I1887" s="4">
        <v>120000</v>
      </c>
    </row>
    <row r="1889" spans="1:11" x14ac:dyDescent="0.25">
      <c r="H1889" t="s">
        <v>17</v>
      </c>
      <c r="I1889" s="4">
        <f>SUM(I1883:I1888)</f>
        <v>416000</v>
      </c>
    </row>
    <row r="1891" spans="1:11" x14ac:dyDescent="0.25">
      <c r="A1891" s="1" t="s">
        <v>0</v>
      </c>
      <c r="B1891" s="1" t="s">
        <v>1</v>
      </c>
      <c r="C1891" s="1" t="s">
        <v>2</v>
      </c>
      <c r="D1891" s="1" t="s">
        <v>3</v>
      </c>
      <c r="E1891" s="1" t="s">
        <v>4</v>
      </c>
      <c r="F1891" s="2" t="s">
        <v>5</v>
      </c>
      <c r="G1891" s="9" t="s">
        <v>40</v>
      </c>
      <c r="H1891" s="1" t="s">
        <v>6</v>
      </c>
      <c r="I1891" s="2" t="s">
        <v>7</v>
      </c>
      <c r="J1891" s="1" t="s">
        <v>8</v>
      </c>
      <c r="K1891" s="1" t="s">
        <v>9</v>
      </c>
    </row>
    <row r="1892" spans="1:11" x14ac:dyDescent="0.25">
      <c r="A1892" s="3">
        <v>45378</v>
      </c>
      <c r="B1892" t="s">
        <v>10</v>
      </c>
      <c r="C1892" t="s">
        <v>901</v>
      </c>
      <c r="D1892" t="s">
        <v>26</v>
      </c>
      <c r="F1892" s="4">
        <v>95363</v>
      </c>
      <c r="G1892" s="10" t="s">
        <v>902</v>
      </c>
      <c r="H1892" t="s">
        <v>51</v>
      </c>
      <c r="I1892" s="4">
        <v>140000</v>
      </c>
    </row>
    <row r="1893" spans="1:11" x14ac:dyDescent="0.25">
      <c r="H1893" t="s">
        <v>108</v>
      </c>
      <c r="I1893" s="4">
        <v>30000</v>
      </c>
    </row>
    <row r="1895" spans="1:11" x14ac:dyDescent="0.25">
      <c r="H1895" t="s">
        <v>17</v>
      </c>
      <c r="I1895" s="4">
        <f>SUM(I1892:I1894)</f>
        <v>170000</v>
      </c>
    </row>
    <row r="1897" spans="1:11" x14ac:dyDescent="0.25">
      <c r="A1897" s="1" t="s">
        <v>0</v>
      </c>
      <c r="B1897" s="1" t="s">
        <v>1</v>
      </c>
      <c r="C1897" s="1" t="s">
        <v>2</v>
      </c>
      <c r="D1897" s="1" t="s">
        <v>3</v>
      </c>
      <c r="E1897" s="1" t="s">
        <v>4</v>
      </c>
      <c r="F1897" s="2" t="s">
        <v>5</v>
      </c>
      <c r="G1897" s="9" t="s">
        <v>40</v>
      </c>
      <c r="H1897" s="1" t="s">
        <v>6</v>
      </c>
      <c r="I1897" s="2" t="s">
        <v>7</v>
      </c>
      <c r="J1897" s="1" t="s">
        <v>8</v>
      </c>
      <c r="K1897" s="1" t="s">
        <v>9</v>
      </c>
    </row>
    <row r="1898" spans="1:11" x14ac:dyDescent="0.25">
      <c r="A1898" s="3">
        <v>45383</v>
      </c>
      <c r="B1898" t="s">
        <v>10</v>
      </c>
      <c r="C1898" t="s">
        <v>915</v>
      </c>
      <c r="D1898" t="s">
        <v>26</v>
      </c>
      <c r="F1898" s="4">
        <v>116083</v>
      </c>
      <c r="G1898" s="10" t="s">
        <v>916</v>
      </c>
      <c r="H1898" t="s">
        <v>917</v>
      </c>
      <c r="I1898" s="4">
        <v>40000</v>
      </c>
    </row>
    <row r="1899" spans="1:11" x14ac:dyDescent="0.25">
      <c r="H1899" t="s">
        <v>918</v>
      </c>
      <c r="I1899" s="4">
        <v>40000</v>
      </c>
    </row>
    <row r="1901" spans="1:11" x14ac:dyDescent="0.25">
      <c r="H1901" t="s">
        <v>17</v>
      </c>
      <c r="I1901" s="4">
        <f>SUM(I1898:I1900)</f>
        <v>80000</v>
      </c>
    </row>
    <row r="1903" spans="1:11" x14ac:dyDescent="0.25">
      <c r="A1903" s="1" t="s">
        <v>0</v>
      </c>
      <c r="B1903" s="1" t="s">
        <v>1</v>
      </c>
      <c r="C1903" s="1" t="s">
        <v>2</v>
      </c>
      <c r="D1903" s="1" t="s">
        <v>3</v>
      </c>
      <c r="E1903" s="1" t="s">
        <v>4</v>
      </c>
      <c r="F1903" s="2" t="s">
        <v>5</v>
      </c>
      <c r="G1903" s="9" t="s">
        <v>40</v>
      </c>
      <c r="H1903" s="1" t="s">
        <v>6</v>
      </c>
      <c r="I1903" s="2" t="s">
        <v>7</v>
      </c>
      <c r="J1903" s="1" t="s">
        <v>8</v>
      </c>
      <c r="K1903" s="1" t="s">
        <v>9</v>
      </c>
    </row>
    <row r="1904" spans="1:11" x14ac:dyDescent="0.25">
      <c r="A1904" s="3">
        <v>45383</v>
      </c>
      <c r="B1904" t="s">
        <v>402</v>
      </c>
      <c r="C1904" t="s">
        <v>893</v>
      </c>
      <c r="G1904" s="10" t="s">
        <v>802</v>
      </c>
      <c r="H1904" t="s">
        <v>1073</v>
      </c>
    </row>
    <row r="1905" spans="1:11" x14ac:dyDescent="0.25">
      <c r="H1905" t="s">
        <v>1074</v>
      </c>
    </row>
    <row r="1906" spans="1:11" x14ac:dyDescent="0.25">
      <c r="H1906" t="s">
        <v>1075</v>
      </c>
    </row>
    <row r="1908" spans="1:11" x14ac:dyDescent="0.25">
      <c r="H1908" t="s">
        <v>17</v>
      </c>
    </row>
    <row r="1910" spans="1:11" x14ac:dyDescent="0.25">
      <c r="A1910" s="1" t="s">
        <v>0</v>
      </c>
      <c r="B1910" s="1" t="s">
        <v>1</v>
      </c>
      <c r="C1910" s="1" t="s">
        <v>2</v>
      </c>
      <c r="D1910" s="1" t="s">
        <v>3</v>
      </c>
      <c r="E1910" s="1" t="s">
        <v>4</v>
      </c>
      <c r="F1910" s="2" t="s">
        <v>5</v>
      </c>
      <c r="G1910" s="9" t="s">
        <v>40</v>
      </c>
      <c r="H1910" s="1" t="s">
        <v>6</v>
      </c>
      <c r="I1910" s="2" t="s">
        <v>7</v>
      </c>
      <c r="J1910" s="1" t="s">
        <v>8</v>
      </c>
      <c r="K1910" s="1" t="s">
        <v>9</v>
      </c>
    </row>
    <row r="1911" spans="1:11" x14ac:dyDescent="0.25">
      <c r="A1911" s="3">
        <v>45383</v>
      </c>
      <c r="B1911" t="s">
        <v>511</v>
      </c>
      <c r="C1911" t="s">
        <v>1071</v>
      </c>
      <c r="D1911" t="s">
        <v>26</v>
      </c>
      <c r="E1911">
        <v>2021</v>
      </c>
      <c r="F1911" s="4">
        <v>13462</v>
      </c>
      <c r="G1911" s="10" t="s">
        <v>1072</v>
      </c>
      <c r="H1911" t="s">
        <v>14</v>
      </c>
    </row>
    <row r="1913" spans="1:11" x14ac:dyDescent="0.25">
      <c r="H1913" t="s">
        <v>17</v>
      </c>
    </row>
    <row r="1915" spans="1:11" x14ac:dyDescent="0.25">
      <c r="A1915" s="1" t="s">
        <v>0</v>
      </c>
      <c r="B1915" s="1" t="s">
        <v>1</v>
      </c>
      <c r="C1915" s="1" t="s">
        <v>2</v>
      </c>
      <c r="D1915" s="1" t="s">
        <v>3</v>
      </c>
      <c r="E1915" s="1" t="s">
        <v>4</v>
      </c>
      <c r="F1915" s="2" t="s">
        <v>5</v>
      </c>
      <c r="G1915" s="9" t="s">
        <v>40</v>
      </c>
      <c r="H1915" s="1" t="s">
        <v>6</v>
      </c>
      <c r="I1915" s="2" t="s">
        <v>7</v>
      </c>
      <c r="J1915" s="1" t="s">
        <v>8</v>
      </c>
      <c r="K1915" s="1" t="s">
        <v>9</v>
      </c>
    </row>
    <row r="1916" spans="1:11" x14ac:dyDescent="0.25">
      <c r="A1916" s="3">
        <v>45383</v>
      </c>
      <c r="B1916" t="s">
        <v>981</v>
      </c>
      <c r="D1916" t="s">
        <v>87</v>
      </c>
      <c r="E1916">
        <v>2021</v>
      </c>
      <c r="F1916" s="4">
        <v>4806</v>
      </c>
      <c r="G1916" s="10" t="s">
        <v>982</v>
      </c>
      <c r="H1916" t="s">
        <v>106</v>
      </c>
      <c r="I1916" s="4">
        <v>150000</v>
      </c>
    </row>
    <row r="1917" spans="1:11" x14ac:dyDescent="0.25">
      <c r="H1917" t="s">
        <v>983</v>
      </c>
      <c r="I1917" s="4">
        <v>80000</v>
      </c>
    </row>
    <row r="1918" spans="1:11" x14ac:dyDescent="0.25">
      <c r="H1918" t="s">
        <v>33</v>
      </c>
      <c r="I1918" s="4">
        <v>20000</v>
      </c>
    </row>
    <row r="1919" spans="1:11" x14ac:dyDescent="0.25">
      <c r="H1919" t="s">
        <v>190</v>
      </c>
      <c r="I1919" s="4">
        <v>80000</v>
      </c>
    </row>
    <row r="1920" spans="1:11" x14ac:dyDescent="0.25">
      <c r="H1920" t="s">
        <v>984</v>
      </c>
      <c r="I1920" s="4">
        <v>30000</v>
      </c>
    </row>
    <row r="1922" spans="1:11" x14ac:dyDescent="0.25">
      <c r="H1922" t="s">
        <v>17</v>
      </c>
      <c r="I1922" s="4">
        <f>SUM(I1916:I1921)</f>
        <v>360000</v>
      </c>
    </row>
    <row r="1924" spans="1:11" x14ac:dyDescent="0.25">
      <c r="A1924" s="1" t="s">
        <v>0</v>
      </c>
      <c r="B1924" s="1" t="s">
        <v>1</v>
      </c>
      <c r="C1924" s="1" t="s">
        <v>2</v>
      </c>
      <c r="D1924" s="1" t="s">
        <v>3</v>
      </c>
      <c r="E1924" s="1" t="s">
        <v>4</v>
      </c>
      <c r="F1924" s="2" t="s">
        <v>5</v>
      </c>
      <c r="G1924" s="9" t="s">
        <v>40</v>
      </c>
      <c r="H1924" s="1" t="s">
        <v>6</v>
      </c>
      <c r="I1924" s="2" t="s">
        <v>7</v>
      </c>
      <c r="J1924" s="1" t="s">
        <v>8</v>
      </c>
      <c r="K1924" s="1" t="s">
        <v>9</v>
      </c>
    </row>
    <row r="1925" spans="1:11" x14ac:dyDescent="0.25">
      <c r="A1925" t="s">
        <v>789</v>
      </c>
      <c r="B1925" t="s">
        <v>10</v>
      </c>
      <c r="C1925" t="s">
        <v>640</v>
      </c>
      <c r="D1925" t="s">
        <v>26</v>
      </c>
      <c r="E1925">
        <v>2011</v>
      </c>
      <c r="F1925" s="4">
        <v>131064</v>
      </c>
      <c r="G1925" s="10" t="s">
        <v>547</v>
      </c>
      <c r="H1925" t="s">
        <v>79</v>
      </c>
      <c r="I1925" s="4">
        <v>230000</v>
      </c>
    </row>
    <row r="1926" spans="1:11" x14ac:dyDescent="0.25">
      <c r="H1926" t="s">
        <v>792</v>
      </c>
      <c r="I1926" s="4">
        <v>48000</v>
      </c>
    </row>
    <row r="1927" spans="1:11" x14ac:dyDescent="0.25">
      <c r="H1927" t="s">
        <v>790</v>
      </c>
      <c r="I1927" s="4">
        <v>35000</v>
      </c>
    </row>
    <row r="1929" spans="1:11" x14ac:dyDescent="0.25">
      <c r="H1929" t="s">
        <v>791</v>
      </c>
      <c r="I1929" s="4">
        <f>SUM(I1925:I1928)</f>
        <v>313000</v>
      </c>
    </row>
    <row r="1931" spans="1:11" x14ac:dyDescent="0.25">
      <c r="A1931" s="1" t="s">
        <v>0</v>
      </c>
      <c r="B1931" s="1" t="s">
        <v>1</v>
      </c>
      <c r="C1931" s="1" t="s">
        <v>2</v>
      </c>
      <c r="D1931" s="1" t="s">
        <v>3</v>
      </c>
      <c r="E1931" s="1" t="s">
        <v>4</v>
      </c>
      <c r="F1931" s="2" t="s">
        <v>5</v>
      </c>
      <c r="G1931" s="9" t="s">
        <v>40</v>
      </c>
      <c r="H1931" s="1" t="s">
        <v>6</v>
      </c>
      <c r="I1931" s="2" t="s">
        <v>7</v>
      </c>
      <c r="J1931" s="1" t="s">
        <v>8</v>
      </c>
      <c r="K1931" s="1" t="s">
        <v>9</v>
      </c>
    </row>
    <row r="1932" spans="1:11" x14ac:dyDescent="0.25">
      <c r="A1932" s="3">
        <v>45384</v>
      </c>
      <c r="B1932" t="s">
        <v>418</v>
      </c>
      <c r="C1932" t="s">
        <v>878</v>
      </c>
      <c r="D1932" t="s">
        <v>31</v>
      </c>
      <c r="F1932" s="4">
        <v>37882</v>
      </c>
      <c r="H1932" t="s">
        <v>879</v>
      </c>
      <c r="I1932" s="4">
        <v>480000</v>
      </c>
    </row>
    <row r="1933" spans="1:11" x14ac:dyDescent="0.25">
      <c r="H1933" t="s">
        <v>14</v>
      </c>
      <c r="I1933" s="4">
        <v>240000</v>
      </c>
    </row>
    <row r="1934" spans="1:11" x14ac:dyDescent="0.25">
      <c r="H1934" t="s">
        <v>15</v>
      </c>
      <c r="I1934" s="4">
        <v>66000</v>
      </c>
    </row>
    <row r="1935" spans="1:11" x14ac:dyDescent="0.25">
      <c r="H1935" t="s">
        <v>37</v>
      </c>
      <c r="I1935" s="4">
        <v>350000</v>
      </c>
    </row>
    <row r="1936" spans="1:11" x14ac:dyDescent="0.25">
      <c r="H1936" t="s">
        <v>50</v>
      </c>
      <c r="I1936" s="4">
        <v>97000</v>
      </c>
    </row>
    <row r="1937" spans="1:11" x14ac:dyDescent="0.25">
      <c r="H1937" t="s">
        <v>880</v>
      </c>
      <c r="I1937" s="4">
        <v>80000</v>
      </c>
    </row>
    <row r="1938" spans="1:11" x14ac:dyDescent="0.25">
      <c r="H1938" t="s">
        <v>102</v>
      </c>
      <c r="I1938" s="4">
        <v>35000</v>
      </c>
    </row>
    <row r="1939" spans="1:11" x14ac:dyDescent="0.25">
      <c r="H1939" t="s">
        <v>881</v>
      </c>
      <c r="I1939" s="4">
        <v>160000</v>
      </c>
    </row>
    <row r="1940" spans="1:11" x14ac:dyDescent="0.25">
      <c r="H1940" t="s">
        <v>39</v>
      </c>
      <c r="I1940" s="4">
        <v>440000</v>
      </c>
    </row>
    <row r="1942" spans="1:11" x14ac:dyDescent="0.25">
      <c r="H1942" t="s">
        <v>17</v>
      </c>
      <c r="I1942" s="4">
        <f>SUM(I1932:I1941)</f>
        <v>1948000</v>
      </c>
    </row>
    <row r="1944" spans="1:11" x14ac:dyDescent="0.25">
      <c r="A1944" s="1" t="s">
        <v>0</v>
      </c>
      <c r="B1944" s="1" t="s">
        <v>1</v>
      </c>
      <c r="C1944" s="1" t="s">
        <v>2</v>
      </c>
      <c r="D1944" s="1" t="s">
        <v>3</v>
      </c>
      <c r="E1944" s="1" t="s">
        <v>4</v>
      </c>
      <c r="F1944" s="2" t="s">
        <v>5</v>
      </c>
      <c r="G1944" s="9" t="s">
        <v>40</v>
      </c>
      <c r="H1944" s="1" t="s">
        <v>6</v>
      </c>
      <c r="I1944" s="2" t="s">
        <v>7</v>
      </c>
      <c r="J1944" s="1" t="s">
        <v>8</v>
      </c>
      <c r="K1944" s="1" t="s">
        <v>9</v>
      </c>
    </row>
    <row r="1945" spans="1:11" x14ac:dyDescent="0.25">
      <c r="A1945" s="3">
        <v>45384</v>
      </c>
      <c r="B1945" t="s">
        <v>153</v>
      </c>
      <c r="C1945" t="s">
        <v>763</v>
      </c>
      <c r="D1945" t="s">
        <v>544</v>
      </c>
      <c r="G1945" s="10" t="s">
        <v>764</v>
      </c>
      <c r="H1945" t="s">
        <v>572</v>
      </c>
    </row>
    <row r="1946" spans="1:11" x14ac:dyDescent="0.25">
      <c r="H1946" t="s">
        <v>843</v>
      </c>
    </row>
    <row r="1947" spans="1:11" x14ac:dyDescent="0.25">
      <c r="H1947" t="s">
        <v>1187</v>
      </c>
    </row>
    <row r="1948" spans="1:11" x14ac:dyDescent="0.25">
      <c r="H1948" t="s">
        <v>33</v>
      </c>
    </row>
    <row r="1950" spans="1:11" x14ac:dyDescent="0.25">
      <c r="H1950" t="s">
        <v>17</v>
      </c>
    </row>
    <row r="1952" spans="1:11" x14ac:dyDescent="0.25">
      <c r="A1952" s="1" t="s">
        <v>0</v>
      </c>
      <c r="B1952" s="1" t="s">
        <v>1</v>
      </c>
      <c r="C1952" s="1" t="s">
        <v>2</v>
      </c>
      <c r="D1952" s="1" t="s">
        <v>3</v>
      </c>
      <c r="E1952" s="1" t="s">
        <v>4</v>
      </c>
      <c r="F1952" s="2" t="s">
        <v>5</v>
      </c>
      <c r="G1952" s="9" t="s">
        <v>40</v>
      </c>
      <c r="H1952" s="1" t="s">
        <v>6</v>
      </c>
      <c r="I1952" s="2" t="s">
        <v>7</v>
      </c>
      <c r="J1952" s="1" t="s">
        <v>8</v>
      </c>
      <c r="K1952" s="1" t="s">
        <v>9</v>
      </c>
    </row>
    <row r="1953" spans="1:11" x14ac:dyDescent="0.25">
      <c r="A1953" s="3">
        <v>45384</v>
      </c>
      <c r="B1953" t="s">
        <v>62</v>
      </c>
      <c r="C1953" t="s">
        <v>63</v>
      </c>
      <c r="D1953" t="s">
        <v>12</v>
      </c>
      <c r="G1953" s="10" t="s">
        <v>64</v>
      </c>
      <c r="H1953" t="s">
        <v>95</v>
      </c>
    </row>
    <row r="1954" spans="1:11" x14ac:dyDescent="0.25">
      <c r="H1954" t="s">
        <v>1188</v>
      </c>
    </row>
    <row r="1955" spans="1:11" x14ac:dyDescent="0.25">
      <c r="H1955" t="s">
        <v>1189</v>
      </c>
    </row>
    <row r="1957" spans="1:11" x14ac:dyDescent="0.25">
      <c r="H1957" t="s">
        <v>17</v>
      </c>
    </row>
    <row r="1959" spans="1:11" x14ac:dyDescent="0.25">
      <c r="A1959" s="1" t="s">
        <v>0</v>
      </c>
      <c r="B1959" s="1" t="s">
        <v>1</v>
      </c>
      <c r="C1959" s="1" t="s">
        <v>2</v>
      </c>
      <c r="D1959" s="1" t="s">
        <v>3</v>
      </c>
      <c r="E1959" s="1" t="s">
        <v>4</v>
      </c>
      <c r="F1959" s="2" t="s">
        <v>5</v>
      </c>
      <c r="G1959" s="9" t="s">
        <v>40</v>
      </c>
      <c r="H1959" s="1" t="s">
        <v>6</v>
      </c>
      <c r="I1959" s="2" t="s">
        <v>7</v>
      </c>
      <c r="J1959" s="1" t="s">
        <v>8</v>
      </c>
      <c r="K1959" s="1" t="s">
        <v>9</v>
      </c>
    </row>
    <row r="1960" spans="1:11" x14ac:dyDescent="0.25">
      <c r="A1960" s="3">
        <v>45384</v>
      </c>
      <c r="B1960" t="s">
        <v>10</v>
      </c>
      <c r="C1960" t="s">
        <v>684</v>
      </c>
      <c r="D1960" t="s">
        <v>12</v>
      </c>
      <c r="G1960" s="10" t="s">
        <v>1190</v>
      </c>
      <c r="H1960" t="s">
        <v>1191</v>
      </c>
      <c r="I1960" s="4">
        <v>250000</v>
      </c>
    </row>
    <row r="1961" spans="1:11" x14ac:dyDescent="0.25">
      <c r="H1961" t="s">
        <v>55</v>
      </c>
      <c r="I1961" s="4">
        <v>350000</v>
      </c>
    </row>
    <row r="1962" spans="1:11" x14ac:dyDescent="0.25">
      <c r="H1962" t="s">
        <v>1191</v>
      </c>
      <c r="I1962" s="4">
        <v>80000</v>
      </c>
    </row>
    <row r="1963" spans="1:11" x14ac:dyDescent="0.25">
      <c r="H1963" t="s">
        <v>14</v>
      </c>
      <c r="I1963" s="4">
        <v>24000</v>
      </c>
    </row>
    <row r="1965" spans="1:11" x14ac:dyDescent="0.25">
      <c r="H1965" t="s">
        <v>17</v>
      </c>
      <c r="I1965" s="4">
        <f>SUM(I1960:I1964)</f>
        <v>704000</v>
      </c>
    </row>
    <row r="1967" spans="1:11" x14ac:dyDescent="0.25">
      <c r="A1967" s="1" t="s">
        <v>0</v>
      </c>
      <c r="B1967" s="1" t="s">
        <v>1</v>
      </c>
      <c r="C1967" s="1" t="s">
        <v>2</v>
      </c>
      <c r="D1967" s="1" t="s">
        <v>3</v>
      </c>
      <c r="E1967" s="1" t="s">
        <v>4</v>
      </c>
      <c r="F1967" s="2" t="s">
        <v>5</v>
      </c>
      <c r="G1967" s="9" t="s">
        <v>40</v>
      </c>
      <c r="H1967" s="1" t="s">
        <v>6</v>
      </c>
      <c r="I1967" s="2" t="s">
        <v>7</v>
      </c>
      <c r="J1967" s="1" t="s">
        <v>8</v>
      </c>
      <c r="K1967" s="1" t="s">
        <v>9</v>
      </c>
    </row>
    <row r="1968" spans="1:11" x14ac:dyDescent="0.25">
      <c r="A1968" s="3">
        <v>45385</v>
      </c>
      <c r="B1968" t="s">
        <v>1076</v>
      </c>
      <c r="C1968" t="s">
        <v>1077</v>
      </c>
      <c r="F1968" s="4">
        <v>25693</v>
      </c>
      <c r="G1968" s="10" t="s">
        <v>1078</v>
      </c>
      <c r="H1968" t="s">
        <v>37</v>
      </c>
      <c r="I1968" s="4">
        <v>200000</v>
      </c>
    </row>
    <row r="1969" spans="1:11" x14ac:dyDescent="0.25">
      <c r="H1969" t="s">
        <v>14</v>
      </c>
      <c r="I1969" s="4">
        <v>80000</v>
      </c>
    </row>
    <row r="1970" spans="1:11" x14ac:dyDescent="0.25">
      <c r="H1970" t="s">
        <v>15</v>
      </c>
    </row>
    <row r="1971" spans="1:11" x14ac:dyDescent="0.25">
      <c r="H1971" t="s">
        <v>33</v>
      </c>
    </row>
    <row r="1972" spans="1:11" x14ac:dyDescent="0.25">
      <c r="H1972" t="s">
        <v>266</v>
      </c>
      <c r="I1972" s="4">
        <v>220000</v>
      </c>
    </row>
    <row r="1973" spans="1:11" x14ac:dyDescent="0.25">
      <c r="H1973" t="s">
        <v>1022</v>
      </c>
    </row>
    <row r="1974" spans="1:11" x14ac:dyDescent="0.25">
      <c r="H1974" t="s">
        <v>1079</v>
      </c>
      <c r="I1974" s="4">
        <v>120000</v>
      </c>
    </row>
    <row r="1975" spans="1:11" x14ac:dyDescent="0.25">
      <c r="H1975" t="s">
        <v>258</v>
      </c>
      <c r="I1975" s="4">
        <v>65000</v>
      </c>
    </row>
    <row r="1976" spans="1:11" x14ac:dyDescent="0.25">
      <c r="H1976" t="s">
        <v>931</v>
      </c>
      <c r="I1976" s="4">
        <v>160000</v>
      </c>
    </row>
    <row r="1978" spans="1:11" x14ac:dyDescent="0.25">
      <c r="H1978" t="s">
        <v>17</v>
      </c>
      <c r="I1978" s="4">
        <f>SUM(I1968:I1977)</f>
        <v>845000</v>
      </c>
    </row>
    <row r="1980" spans="1:11" x14ac:dyDescent="0.25">
      <c r="A1980" s="1" t="s">
        <v>0</v>
      </c>
      <c r="B1980" s="1" t="s">
        <v>1</v>
      </c>
      <c r="C1980" s="1" t="s">
        <v>2</v>
      </c>
      <c r="D1980" s="1" t="s">
        <v>3</v>
      </c>
      <c r="E1980" s="1" t="s">
        <v>4</v>
      </c>
      <c r="F1980" s="2" t="s">
        <v>5</v>
      </c>
      <c r="G1980" s="9" t="s">
        <v>40</v>
      </c>
      <c r="H1980" s="1" t="s">
        <v>6</v>
      </c>
      <c r="I1980" s="2" t="s">
        <v>7</v>
      </c>
      <c r="J1980" s="1" t="s">
        <v>8</v>
      </c>
      <c r="K1980" s="1" t="s">
        <v>9</v>
      </c>
    </row>
    <row r="1981" spans="1:11" x14ac:dyDescent="0.25">
      <c r="A1981" s="3">
        <v>45385</v>
      </c>
      <c r="B1981" t="s">
        <v>10</v>
      </c>
      <c r="C1981" t="s">
        <v>1173</v>
      </c>
      <c r="D1981" t="s">
        <v>19</v>
      </c>
      <c r="E1981">
        <v>2011</v>
      </c>
      <c r="F1981" s="4">
        <v>132701</v>
      </c>
      <c r="G1981" s="10" t="s">
        <v>1174</v>
      </c>
      <c r="H1981" t="s">
        <v>20</v>
      </c>
      <c r="I1981" s="4">
        <v>140000</v>
      </c>
    </row>
    <row r="1982" spans="1:11" x14ac:dyDescent="0.25">
      <c r="H1982" t="s">
        <v>1175</v>
      </c>
      <c r="I1982" s="4">
        <v>50000</v>
      </c>
    </row>
    <row r="1983" spans="1:11" x14ac:dyDescent="0.25">
      <c r="H1983" t="s">
        <v>1176</v>
      </c>
      <c r="I1983" s="4">
        <v>120000</v>
      </c>
    </row>
    <row r="1984" spans="1:11" x14ac:dyDescent="0.25">
      <c r="H1984" t="s">
        <v>1177</v>
      </c>
      <c r="I1984" s="4">
        <v>230000</v>
      </c>
    </row>
    <row r="1985" spans="1:11" x14ac:dyDescent="0.25">
      <c r="H1985" t="s">
        <v>1178</v>
      </c>
      <c r="I1985" s="4">
        <v>60000</v>
      </c>
    </row>
    <row r="1986" spans="1:11" x14ac:dyDescent="0.25">
      <c r="H1986" t="s">
        <v>37</v>
      </c>
      <c r="I1986" s="4">
        <v>300000</v>
      </c>
    </row>
    <row r="1987" spans="1:11" x14ac:dyDescent="0.25">
      <c r="H1987" t="s">
        <v>1179</v>
      </c>
      <c r="I1987" s="4">
        <v>250000</v>
      </c>
    </row>
    <row r="1988" spans="1:11" x14ac:dyDescent="0.25">
      <c r="H1988" t="s">
        <v>33</v>
      </c>
      <c r="I1988" s="4">
        <v>20000</v>
      </c>
    </row>
    <row r="1989" spans="1:11" x14ac:dyDescent="0.25">
      <c r="H1989" t="s">
        <v>1180</v>
      </c>
      <c r="I1989" s="4">
        <v>260000</v>
      </c>
    </row>
    <row r="1990" spans="1:11" x14ac:dyDescent="0.25">
      <c r="H1990" t="s">
        <v>1181</v>
      </c>
      <c r="I1990" s="4">
        <v>100000</v>
      </c>
    </row>
    <row r="1991" spans="1:11" x14ac:dyDescent="0.25">
      <c r="H1991" t="s">
        <v>1035</v>
      </c>
      <c r="I1991" s="4">
        <v>60000</v>
      </c>
    </row>
    <row r="1993" spans="1:11" x14ac:dyDescent="0.25">
      <c r="H1993" t="s">
        <v>17</v>
      </c>
      <c r="I1993" s="4">
        <f>SUM(I1981:I1992)</f>
        <v>1590000</v>
      </c>
    </row>
    <row r="1995" spans="1:11" x14ac:dyDescent="0.25">
      <c r="A1995" s="1" t="s">
        <v>0</v>
      </c>
      <c r="B1995" s="1" t="s">
        <v>1</v>
      </c>
      <c r="C1995" s="1" t="s">
        <v>2</v>
      </c>
      <c r="D1995" s="1" t="s">
        <v>3</v>
      </c>
      <c r="E1995" s="1" t="s">
        <v>4</v>
      </c>
      <c r="F1995" s="2" t="s">
        <v>5</v>
      </c>
      <c r="G1995" s="9" t="s">
        <v>40</v>
      </c>
      <c r="H1995" s="1" t="s">
        <v>6</v>
      </c>
      <c r="I1995" s="2" t="s">
        <v>7</v>
      </c>
      <c r="J1995" s="1" t="s">
        <v>8</v>
      </c>
      <c r="K1995" s="1" t="s">
        <v>9</v>
      </c>
    </row>
    <row r="1996" spans="1:11" x14ac:dyDescent="0.25">
      <c r="A1996" s="3">
        <v>45386</v>
      </c>
      <c r="B1996" t="s">
        <v>920</v>
      </c>
      <c r="C1996" t="s">
        <v>921</v>
      </c>
      <c r="D1996" t="s">
        <v>82</v>
      </c>
      <c r="E1996">
        <v>2016</v>
      </c>
      <c r="F1996" s="4">
        <v>29700</v>
      </c>
      <c r="G1996" s="10" t="s">
        <v>922</v>
      </c>
      <c r="H1996" t="s">
        <v>923</v>
      </c>
      <c r="I1996" s="4">
        <v>80000</v>
      </c>
    </row>
    <row r="1997" spans="1:11" x14ac:dyDescent="0.25">
      <c r="H1997" t="s">
        <v>924</v>
      </c>
      <c r="I1997" s="4">
        <v>80000</v>
      </c>
    </row>
    <row r="1998" spans="1:11" x14ac:dyDescent="0.25">
      <c r="H1998" t="s">
        <v>37</v>
      </c>
      <c r="I1998" s="4">
        <v>190000</v>
      </c>
    </row>
    <row r="1999" spans="1:11" x14ac:dyDescent="0.25">
      <c r="H1999" t="s">
        <v>48</v>
      </c>
      <c r="I1999" s="4">
        <v>40000</v>
      </c>
    </row>
    <row r="2000" spans="1:11" x14ac:dyDescent="0.25">
      <c r="H2000" t="s">
        <v>349</v>
      </c>
      <c r="I2000" s="4">
        <v>15000</v>
      </c>
    </row>
    <row r="2001" spans="1:11" x14ac:dyDescent="0.25">
      <c r="H2001" t="s">
        <v>14</v>
      </c>
      <c r="I2001" s="4">
        <v>32000</v>
      </c>
    </row>
    <row r="2003" spans="1:11" x14ac:dyDescent="0.25">
      <c r="H2003" t="s">
        <v>17</v>
      </c>
      <c r="I2003" s="4">
        <f>SUM(I1996:I2002)</f>
        <v>437000</v>
      </c>
    </row>
    <row r="2005" spans="1:11" x14ac:dyDescent="0.25">
      <c r="A2005" s="1" t="s">
        <v>0</v>
      </c>
      <c r="B2005" s="1" t="s">
        <v>1</v>
      </c>
      <c r="C2005" s="1" t="s">
        <v>2</v>
      </c>
      <c r="D2005" s="1" t="s">
        <v>3</v>
      </c>
      <c r="E2005" s="1" t="s">
        <v>4</v>
      </c>
      <c r="F2005" s="2" t="s">
        <v>5</v>
      </c>
      <c r="G2005" s="9" t="s">
        <v>40</v>
      </c>
      <c r="H2005" s="1" t="s">
        <v>6</v>
      </c>
      <c r="I2005" s="2" t="s">
        <v>7</v>
      </c>
      <c r="J2005" s="1" t="s">
        <v>8</v>
      </c>
      <c r="K2005" s="1" t="s">
        <v>9</v>
      </c>
    </row>
    <row r="2006" spans="1:11" x14ac:dyDescent="0.25">
      <c r="A2006" s="3">
        <v>45386</v>
      </c>
      <c r="B2006" t="s">
        <v>925</v>
      </c>
      <c r="C2006" t="s">
        <v>926</v>
      </c>
      <c r="D2006" t="s">
        <v>19</v>
      </c>
      <c r="E2006">
        <v>2010</v>
      </c>
      <c r="G2006" s="10" t="s">
        <v>927</v>
      </c>
      <c r="H2006" t="s">
        <v>254</v>
      </c>
      <c r="I2006" s="4">
        <v>340000</v>
      </c>
    </row>
    <row r="2007" spans="1:11" x14ac:dyDescent="0.25">
      <c r="H2007" t="s">
        <v>928</v>
      </c>
      <c r="I2007" s="4">
        <v>42000</v>
      </c>
    </row>
    <row r="2008" spans="1:11" x14ac:dyDescent="0.25">
      <c r="H2008" t="s">
        <v>35</v>
      </c>
      <c r="I2008" s="4">
        <v>35000</v>
      </c>
    </row>
    <row r="2009" spans="1:11" x14ac:dyDescent="0.25">
      <c r="H2009" t="s">
        <v>34</v>
      </c>
      <c r="I2009" s="4">
        <v>42000</v>
      </c>
    </row>
    <row r="2010" spans="1:11" x14ac:dyDescent="0.25">
      <c r="H2010" t="s">
        <v>929</v>
      </c>
      <c r="I2010" s="4">
        <v>65000</v>
      </c>
    </row>
    <row r="2011" spans="1:11" x14ac:dyDescent="0.25">
      <c r="H2011" t="s">
        <v>930</v>
      </c>
      <c r="I2011" s="4">
        <v>16000</v>
      </c>
    </row>
    <row r="2012" spans="1:11" x14ac:dyDescent="0.25">
      <c r="H2012" t="s">
        <v>155</v>
      </c>
      <c r="I2012" s="4">
        <v>65000</v>
      </c>
    </row>
    <row r="2013" spans="1:11" x14ac:dyDescent="0.25">
      <c r="H2013" t="s">
        <v>931</v>
      </c>
      <c r="I2013" s="4">
        <v>180000</v>
      </c>
    </row>
    <row r="2014" spans="1:11" x14ac:dyDescent="0.25">
      <c r="H2014" t="s">
        <v>932</v>
      </c>
      <c r="I2014" s="4">
        <v>70000</v>
      </c>
    </row>
    <row r="2015" spans="1:11" x14ac:dyDescent="0.25">
      <c r="H2015" t="s">
        <v>933</v>
      </c>
      <c r="I2015" s="4">
        <v>35000</v>
      </c>
    </row>
    <row r="2017" spans="1:11" x14ac:dyDescent="0.25">
      <c r="H2017" t="s">
        <v>17</v>
      </c>
      <c r="I2017" s="4">
        <f>SUM(I2006:I2016)</f>
        <v>890000</v>
      </c>
    </row>
    <row r="2019" spans="1:11" x14ac:dyDescent="0.25">
      <c r="A2019" s="1" t="s">
        <v>0</v>
      </c>
      <c r="B2019" s="1" t="s">
        <v>1</v>
      </c>
      <c r="C2019" s="1" t="s">
        <v>2</v>
      </c>
      <c r="D2019" s="1" t="s">
        <v>3</v>
      </c>
      <c r="E2019" s="1" t="s">
        <v>4</v>
      </c>
      <c r="F2019" s="2" t="s">
        <v>5</v>
      </c>
      <c r="G2019" s="9" t="s">
        <v>40</v>
      </c>
      <c r="H2019" s="1" t="s">
        <v>6</v>
      </c>
      <c r="I2019" s="2" t="s">
        <v>7</v>
      </c>
      <c r="J2019" s="1" t="s">
        <v>8</v>
      </c>
      <c r="K2019" s="1" t="s">
        <v>9</v>
      </c>
    </row>
    <row r="2020" spans="1:11" x14ac:dyDescent="0.25">
      <c r="A2020" s="3">
        <v>45386</v>
      </c>
      <c r="B2020" t="s">
        <v>29</v>
      </c>
      <c r="C2020" t="s">
        <v>130</v>
      </c>
      <c r="D2020" t="s">
        <v>26</v>
      </c>
      <c r="E2020">
        <v>2012</v>
      </c>
      <c r="F2020" s="4">
        <v>63700</v>
      </c>
      <c r="G2020" s="10" t="s">
        <v>131</v>
      </c>
      <c r="H2020" t="s">
        <v>1069</v>
      </c>
    </row>
    <row r="2021" spans="1:11" x14ac:dyDescent="0.25">
      <c r="H2021" t="s">
        <v>1070</v>
      </c>
    </row>
    <row r="2023" spans="1:11" x14ac:dyDescent="0.25">
      <c r="H2023" t="s">
        <v>17</v>
      </c>
    </row>
    <row r="2025" spans="1:11" x14ac:dyDescent="0.25">
      <c r="A2025" s="1" t="s">
        <v>0</v>
      </c>
      <c r="B2025" s="1" t="s">
        <v>1</v>
      </c>
      <c r="C2025" s="1" t="s">
        <v>2</v>
      </c>
      <c r="D2025" s="1" t="s">
        <v>3</v>
      </c>
      <c r="E2025" s="1" t="s">
        <v>4</v>
      </c>
      <c r="F2025" s="2" t="s">
        <v>5</v>
      </c>
      <c r="G2025" s="9" t="s">
        <v>40</v>
      </c>
      <c r="H2025" s="1" t="s">
        <v>6</v>
      </c>
      <c r="I2025" s="2" t="s">
        <v>7</v>
      </c>
      <c r="J2025" s="1" t="s">
        <v>8</v>
      </c>
      <c r="K2025" s="1" t="s">
        <v>9</v>
      </c>
    </row>
    <row r="2026" spans="1:11" x14ac:dyDescent="0.25">
      <c r="A2026" s="3">
        <v>45387</v>
      </c>
      <c r="B2026" t="s">
        <v>29</v>
      </c>
      <c r="C2026" t="s">
        <v>934</v>
      </c>
      <c r="E2026">
        <v>2009</v>
      </c>
      <c r="F2026" s="4">
        <v>65475</v>
      </c>
      <c r="G2026" s="10" t="s">
        <v>935</v>
      </c>
      <c r="H2026" t="s">
        <v>14</v>
      </c>
      <c r="I2026" s="4">
        <v>35000</v>
      </c>
    </row>
    <row r="2027" spans="1:11" x14ac:dyDescent="0.25">
      <c r="H2027" t="s">
        <v>430</v>
      </c>
      <c r="I2027" s="4">
        <v>40000</v>
      </c>
    </row>
    <row r="2028" spans="1:11" x14ac:dyDescent="0.25">
      <c r="H2028" t="s">
        <v>936</v>
      </c>
      <c r="I2028" s="4">
        <v>15000</v>
      </c>
    </row>
    <row r="2030" spans="1:11" x14ac:dyDescent="0.25">
      <c r="H2030" t="s">
        <v>17</v>
      </c>
      <c r="I2030" s="4">
        <f>SUM(I2026:I2029)</f>
        <v>90000</v>
      </c>
    </row>
    <row r="2032" spans="1:11" x14ac:dyDescent="0.25">
      <c r="A2032" s="1" t="s">
        <v>0</v>
      </c>
      <c r="B2032" s="1" t="s">
        <v>1</v>
      </c>
      <c r="C2032" s="1" t="s">
        <v>2</v>
      </c>
      <c r="D2032" s="1" t="s">
        <v>3</v>
      </c>
      <c r="E2032" s="1" t="s">
        <v>4</v>
      </c>
      <c r="F2032" s="2" t="s">
        <v>5</v>
      </c>
      <c r="G2032" s="9" t="s">
        <v>40</v>
      </c>
      <c r="H2032" s="1" t="s">
        <v>6</v>
      </c>
      <c r="I2032" s="2" t="s">
        <v>7</v>
      </c>
      <c r="J2032" s="1" t="s">
        <v>8</v>
      </c>
      <c r="K2032" s="1" t="s">
        <v>9</v>
      </c>
    </row>
    <row r="2033" spans="1:11" x14ac:dyDescent="0.25">
      <c r="A2033" s="3">
        <v>45387</v>
      </c>
      <c r="B2033" t="s">
        <v>1063</v>
      </c>
      <c r="C2033" t="s">
        <v>1064</v>
      </c>
      <c r="D2033" t="s">
        <v>19</v>
      </c>
      <c r="E2033">
        <v>2018</v>
      </c>
      <c r="G2033" s="10" t="s">
        <v>1065</v>
      </c>
      <c r="H2033" t="s">
        <v>1066</v>
      </c>
    </row>
    <row r="2034" spans="1:11" x14ac:dyDescent="0.25">
      <c r="H2034" t="s">
        <v>266</v>
      </c>
    </row>
    <row r="2036" spans="1:11" x14ac:dyDescent="0.25">
      <c r="H2036" t="s">
        <v>28</v>
      </c>
      <c r="I2036" s="4">
        <v>280000</v>
      </c>
    </row>
    <row r="2038" spans="1:11" x14ac:dyDescent="0.25">
      <c r="A2038" s="1" t="s">
        <v>0</v>
      </c>
      <c r="B2038" s="1" t="s">
        <v>1</v>
      </c>
      <c r="C2038" s="1" t="s">
        <v>2</v>
      </c>
      <c r="D2038" s="1" t="s">
        <v>3</v>
      </c>
      <c r="E2038" s="1" t="s">
        <v>4</v>
      </c>
      <c r="F2038" s="2" t="s">
        <v>5</v>
      </c>
      <c r="G2038" s="9" t="s">
        <v>40</v>
      </c>
      <c r="H2038" s="1" t="s">
        <v>6</v>
      </c>
      <c r="I2038" s="2" t="s">
        <v>7</v>
      </c>
      <c r="J2038" s="1" t="s">
        <v>8</v>
      </c>
      <c r="K2038" s="1" t="s">
        <v>9</v>
      </c>
    </row>
    <row r="2039" spans="1:11" x14ac:dyDescent="0.25">
      <c r="A2039" s="3">
        <v>45387</v>
      </c>
      <c r="B2039" t="s">
        <v>939</v>
      </c>
      <c r="C2039" t="s">
        <v>940</v>
      </c>
      <c r="D2039" t="s">
        <v>87</v>
      </c>
      <c r="E2039">
        <v>2023</v>
      </c>
      <c r="F2039" s="4">
        <v>16200</v>
      </c>
      <c r="G2039" s="10" t="s">
        <v>941</v>
      </c>
      <c r="H2039" t="s">
        <v>59</v>
      </c>
      <c r="I2039" s="4">
        <v>300000</v>
      </c>
    </row>
    <row r="2040" spans="1:11" x14ac:dyDescent="0.25">
      <c r="H2040" t="s">
        <v>14</v>
      </c>
    </row>
    <row r="2041" spans="1:11" x14ac:dyDescent="0.25">
      <c r="H2041" t="s">
        <v>15</v>
      </c>
      <c r="I2041" s="4">
        <v>46000</v>
      </c>
    </row>
    <row r="2042" spans="1:11" x14ac:dyDescent="0.25">
      <c r="H2042" t="s">
        <v>942</v>
      </c>
    </row>
    <row r="2044" spans="1:11" x14ac:dyDescent="0.25">
      <c r="H2044" t="s">
        <v>17</v>
      </c>
      <c r="I2044" s="4">
        <f>SUM(I2039:I2043)</f>
        <v>346000</v>
      </c>
    </row>
    <row r="2046" spans="1:11" x14ac:dyDescent="0.25">
      <c r="A2046" s="1" t="s">
        <v>0</v>
      </c>
      <c r="B2046" s="1" t="s">
        <v>1</v>
      </c>
      <c r="C2046" s="1" t="s">
        <v>2</v>
      </c>
      <c r="D2046" s="1" t="s">
        <v>3</v>
      </c>
      <c r="E2046" s="1" t="s">
        <v>4</v>
      </c>
      <c r="F2046" s="2" t="s">
        <v>5</v>
      </c>
      <c r="G2046" s="9" t="s">
        <v>40</v>
      </c>
      <c r="H2046" s="1" t="s">
        <v>6</v>
      </c>
      <c r="I2046" s="2" t="s">
        <v>7</v>
      </c>
      <c r="J2046" s="1" t="s">
        <v>8</v>
      </c>
      <c r="K2046" s="1" t="s">
        <v>9</v>
      </c>
    </row>
    <row r="2047" spans="1:11" x14ac:dyDescent="0.25">
      <c r="A2047" s="3">
        <v>45387</v>
      </c>
      <c r="B2047" t="s">
        <v>247</v>
      </c>
      <c r="D2047" t="s">
        <v>12</v>
      </c>
      <c r="E2047">
        <v>2020</v>
      </c>
      <c r="G2047" s="10" t="s">
        <v>1067</v>
      </c>
      <c r="H2047" t="s">
        <v>1068</v>
      </c>
    </row>
    <row r="2049" spans="1:11" x14ac:dyDescent="0.25">
      <c r="H2049" t="s">
        <v>17</v>
      </c>
    </row>
    <row r="2051" spans="1:11" x14ac:dyDescent="0.25">
      <c r="A2051" s="1" t="s">
        <v>0</v>
      </c>
      <c r="B2051" s="1" t="s">
        <v>1</v>
      </c>
      <c r="C2051" s="1" t="s">
        <v>2</v>
      </c>
      <c r="D2051" s="1" t="s">
        <v>3</v>
      </c>
      <c r="E2051" s="1" t="s">
        <v>4</v>
      </c>
      <c r="F2051" s="2" t="s">
        <v>5</v>
      </c>
      <c r="G2051" s="9" t="s">
        <v>40</v>
      </c>
      <c r="H2051" s="1" t="s">
        <v>6</v>
      </c>
      <c r="I2051" s="2" t="s">
        <v>7</v>
      </c>
      <c r="J2051" s="1" t="s">
        <v>8</v>
      </c>
      <c r="K2051" s="1" t="s">
        <v>9</v>
      </c>
    </row>
    <row r="2052" spans="1:11" x14ac:dyDescent="0.25">
      <c r="A2052" s="3">
        <v>45388</v>
      </c>
      <c r="B2052" t="s">
        <v>588</v>
      </c>
      <c r="C2052" t="s">
        <v>937</v>
      </c>
      <c r="D2052" t="s">
        <v>836</v>
      </c>
      <c r="F2052" s="4">
        <v>9140</v>
      </c>
      <c r="G2052" s="10" t="s">
        <v>938</v>
      </c>
      <c r="H2052" t="s">
        <v>106</v>
      </c>
      <c r="I2052" s="4">
        <v>150000</v>
      </c>
    </row>
    <row r="2053" spans="1:11" x14ac:dyDescent="0.25">
      <c r="H2053" t="s">
        <v>14</v>
      </c>
      <c r="I2053" s="4">
        <v>96000</v>
      </c>
    </row>
    <row r="2054" spans="1:11" x14ac:dyDescent="0.25">
      <c r="H2054" t="s">
        <v>50</v>
      </c>
      <c r="I2054" s="4">
        <v>70000</v>
      </c>
    </row>
    <row r="2055" spans="1:11" x14ac:dyDescent="0.25">
      <c r="H2055" t="s">
        <v>39</v>
      </c>
      <c r="I2055" s="4">
        <v>90000</v>
      </c>
    </row>
    <row r="2056" spans="1:11" x14ac:dyDescent="0.25">
      <c r="H2056" t="s">
        <v>33</v>
      </c>
      <c r="I2056" s="4">
        <v>20000</v>
      </c>
    </row>
    <row r="2058" spans="1:11" x14ac:dyDescent="0.25">
      <c r="H2058" t="s">
        <v>17</v>
      </c>
      <c r="I2058" s="4">
        <f>SUM(I2052:I2057)</f>
        <v>426000</v>
      </c>
    </row>
    <row r="2060" spans="1:11" x14ac:dyDescent="0.25">
      <c r="A2060" s="1" t="s">
        <v>0</v>
      </c>
      <c r="B2060" s="1" t="s">
        <v>1</v>
      </c>
      <c r="C2060" s="1" t="s">
        <v>2</v>
      </c>
      <c r="D2060" s="1" t="s">
        <v>3</v>
      </c>
      <c r="E2060" s="1" t="s">
        <v>4</v>
      </c>
      <c r="F2060" s="2" t="s">
        <v>5</v>
      </c>
      <c r="G2060" s="9" t="s">
        <v>40</v>
      </c>
      <c r="H2060" s="1" t="s">
        <v>6</v>
      </c>
      <c r="I2060" s="2" t="s">
        <v>7</v>
      </c>
      <c r="J2060" s="1" t="s">
        <v>8</v>
      </c>
      <c r="K2060" s="1" t="s">
        <v>9</v>
      </c>
    </row>
    <row r="2061" spans="1:11" x14ac:dyDescent="0.25">
      <c r="A2061" s="3">
        <v>45388</v>
      </c>
      <c r="B2061" t="s">
        <v>247</v>
      </c>
      <c r="C2061" t="s">
        <v>248</v>
      </c>
      <c r="D2061" t="s">
        <v>19</v>
      </c>
      <c r="F2061" s="4">
        <v>42245</v>
      </c>
      <c r="H2061" t="s">
        <v>943</v>
      </c>
      <c r="I2061" s="4">
        <v>180000</v>
      </c>
    </row>
    <row r="2063" spans="1:11" x14ac:dyDescent="0.25">
      <c r="H2063" t="s">
        <v>17</v>
      </c>
      <c r="I2063" s="4">
        <v>180000</v>
      </c>
    </row>
    <row r="2065" spans="1:11" x14ac:dyDescent="0.25">
      <c r="A2065" s="1" t="s">
        <v>0</v>
      </c>
      <c r="B2065" s="1" t="s">
        <v>1</v>
      </c>
      <c r="C2065" s="1" t="s">
        <v>2</v>
      </c>
      <c r="D2065" s="1" t="s">
        <v>3</v>
      </c>
      <c r="E2065" s="1" t="s">
        <v>4</v>
      </c>
      <c r="F2065" s="2" t="s">
        <v>5</v>
      </c>
      <c r="G2065" s="9" t="s">
        <v>40</v>
      </c>
      <c r="H2065" s="1" t="s">
        <v>6</v>
      </c>
      <c r="I2065" s="2" t="s">
        <v>7</v>
      </c>
      <c r="J2065" s="1" t="s">
        <v>8</v>
      </c>
      <c r="K2065" s="1" t="s">
        <v>9</v>
      </c>
    </row>
    <row r="2066" spans="1:11" x14ac:dyDescent="0.25">
      <c r="A2066" s="3">
        <v>45388</v>
      </c>
      <c r="B2066" t="s">
        <v>10</v>
      </c>
      <c r="C2066" t="s">
        <v>944</v>
      </c>
      <c r="D2066" t="s">
        <v>26</v>
      </c>
      <c r="E2066">
        <v>2019</v>
      </c>
      <c r="F2066" s="4">
        <v>42853</v>
      </c>
      <c r="G2066" s="10" t="s">
        <v>945</v>
      </c>
      <c r="H2066" t="s">
        <v>59</v>
      </c>
      <c r="I2066" s="4">
        <v>290000</v>
      </c>
    </row>
    <row r="2067" spans="1:11" x14ac:dyDescent="0.25">
      <c r="H2067" t="s">
        <v>14</v>
      </c>
      <c r="I2067" s="4">
        <v>192000</v>
      </c>
    </row>
    <row r="2068" spans="1:11" x14ac:dyDescent="0.25">
      <c r="H2068" t="s">
        <v>15</v>
      </c>
      <c r="I2068" s="4">
        <v>46000</v>
      </c>
    </row>
    <row r="2069" spans="1:11" x14ac:dyDescent="0.25">
      <c r="H2069" t="s">
        <v>20</v>
      </c>
      <c r="I2069" s="4">
        <v>140000</v>
      </c>
    </row>
    <row r="2070" spans="1:11" x14ac:dyDescent="0.25">
      <c r="H2070" t="s">
        <v>50</v>
      </c>
      <c r="I2070" s="4">
        <v>105000</v>
      </c>
    </row>
    <row r="2071" spans="1:11" x14ac:dyDescent="0.25">
      <c r="H2071" t="s">
        <v>39</v>
      </c>
      <c r="I2071" s="4">
        <v>240000</v>
      </c>
    </row>
    <row r="2072" spans="1:11" x14ac:dyDescent="0.25">
      <c r="H2072" t="s">
        <v>48</v>
      </c>
      <c r="I2072" s="4">
        <v>80000</v>
      </c>
    </row>
    <row r="2073" spans="1:11" x14ac:dyDescent="0.25">
      <c r="H2073" t="s">
        <v>33</v>
      </c>
      <c r="I2073" s="4">
        <v>20000</v>
      </c>
    </row>
    <row r="2075" spans="1:11" x14ac:dyDescent="0.25">
      <c r="H2075" t="s">
        <v>17</v>
      </c>
      <c r="I2075" s="4">
        <f>SUM(I2066:I2074)</f>
        <v>1113000</v>
      </c>
    </row>
    <row r="2077" spans="1:11" x14ac:dyDescent="0.25">
      <c r="A2077" s="1" t="s">
        <v>0</v>
      </c>
      <c r="B2077" s="1" t="s">
        <v>1</v>
      </c>
      <c r="C2077" s="1" t="s">
        <v>2</v>
      </c>
      <c r="D2077" s="1" t="s">
        <v>3</v>
      </c>
      <c r="E2077" s="1" t="s">
        <v>4</v>
      </c>
      <c r="F2077" s="2" t="s">
        <v>5</v>
      </c>
      <c r="G2077" s="9" t="s">
        <v>40</v>
      </c>
      <c r="H2077" s="1" t="s">
        <v>6</v>
      </c>
      <c r="I2077" s="2" t="s">
        <v>7</v>
      </c>
      <c r="J2077" s="1" t="s">
        <v>8</v>
      </c>
      <c r="K2077" s="1" t="s">
        <v>9</v>
      </c>
    </row>
    <row r="2078" spans="1:11" x14ac:dyDescent="0.25">
      <c r="A2078" s="3">
        <v>45388</v>
      </c>
      <c r="B2078" t="s">
        <v>29</v>
      </c>
      <c r="C2078" t="s">
        <v>946</v>
      </c>
      <c r="D2078" t="s">
        <v>947</v>
      </c>
      <c r="E2078">
        <v>2012</v>
      </c>
      <c r="F2078" s="4">
        <v>115108</v>
      </c>
      <c r="G2078" s="10" t="s">
        <v>948</v>
      </c>
      <c r="H2078" t="s">
        <v>949</v>
      </c>
      <c r="I2078" s="4">
        <v>120000</v>
      </c>
    </row>
    <row r="2079" spans="1:11" x14ac:dyDescent="0.25">
      <c r="H2079" t="s">
        <v>232</v>
      </c>
      <c r="I2079" s="4">
        <v>60000</v>
      </c>
    </row>
    <row r="2080" spans="1:11" x14ac:dyDescent="0.25">
      <c r="H2080" t="s">
        <v>21</v>
      </c>
      <c r="I2080" s="4">
        <v>25000</v>
      </c>
    </row>
    <row r="2081" spans="1:11" x14ac:dyDescent="0.25">
      <c r="H2081" t="s">
        <v>16</v>
      </c>
      <c r="I2081" s="4">
        <v>40000</v>
      </c>
    </row>
    <row r="2082" spans="1:11" x14ac:dyDescent="0.25">
      <c r="H2082" t="s">
        <v>950</v>
      </c>
      <c r="I2082" s="4">
        <v>35000</v>
      </c>
    </row>
    <row r="2083" spans="1:11" x14ac:dyDescent="0.25">
      <c r="H2083" t="s">
        <v>323</v>
      </c>
      <c r="I2083" s="4">
        <v>100000</v>
      </c>
    </row>
    <row r="2084" spans="1:11" x14ac:dyDescent="0.25">
      <c r="H2084" t="s">
        <v>951</v>
      </c>
      <c r="I2084" s="4">
        <v>25000</v>
      </c>
    </row>
    <row r="2085" spans="1:11" x14ac:dyDescent="0.25">
      <c r="H2085" t="s">
        <v>309</v>
      </c>
      <c r="I2085" s="4">
        <v>150000</v>
      </c>
    </row>
    <row r="2086" spans="1:11" x14ac:dyDescent="0.25">
      <c r="H2086" t="s">
        <v>33</v>
      </c>
      <c r="I2086" s="4">
        <v>20000</v>
      </c>
    </row>
    <row r="2087" spans="1:11" x14ac:dyDescent="0.25">
      <c r="H2087" t="s">
        <v>952</v>
      </c>
      <c r="I2087" s="4">
        <v>-116000</v>
      </c>
    </row>
    <row r="2089" spans="1:11" x14ac:dyDescent="0.25">
      <c r="H2089" t="s">
        <v>17</v>
      </c>
      <c r="I2089" s="4">
        <f>SUM(I2078:I2088)</f>
        <v>459000</v>
      </c>
    </row>
    <row r="2091" spans="1:11" x14ac:dyDescent="0.25">
      <c r="A2091" s="1" t="s">
        <v>0</v>
      </c>
      <c r="B2091" s="1" t="s">
        <v>1</v>
      </c>
      <c r="C2091" s="1" t="s">
        <v>2</v>
      </c>
      <c r="D2091" s="1" t="s">
        <v>3</v>
      </c>
      <c r="E2091" s="1" t="s">
        <v>4</v>
      </c>
      <c r="F2091" s="2" t="s">
        <v>5</v>
      </c>
      <c r="G2091" s="9" t="s">
        <v>40</v>
      </c>
      <c r="H2091" s="1" t="s">
        <v>6</v>
      </c>
      <c r="I2091" s="2" t="s">
        <v>7</v>
      </c>
      <c r="J2091" s="1" t="s">
        <v>8</v>
      </c>
      <c r="K2091" s="1" t="s">
        <v>9</v>
      </c>
    </row>
    <row r="2092" spans="1:11" x14ac:dyDescent="0.25">
      <c r="A2092" s="3">
        <v>45388</v>
      </c>
      <c r="B2092" t="s">
        <v>10</v>
      </c>
      <c r="C2092" t="s">
        <v>236</v>
      </c>
      <c r="D2092" t="s">
        <v>26</v>
      </c>
      <c r="F2092" s="4">
        <v>82243</v>
      </c>
      <c r="G2092" s="10" t="s">
        <v>237</v>
      </c>
      <c r="H2092" t="s">
        <v>33</v>
      </c>
      <c r="I2092" s="4">
        <v>20000</v>
      </c>
    </row>
    <row r="2093" spans="1:11" x14ac:dyDescent="0.25">
      <c r="H2093" t="s">
        <v>722</v>
      </c>
      <c r="I2093" s="4">
        <v>80000</v>
      </c>
    </row>
    <row r="2094" spans="1:11" x14ac:dyDescent="0.25">
      <c r="H2094" t="s">
        <v>231</v>
      </c>
      <c r="I2094" s="4">
        <v>180000</v>
      </c>
    </row>
    <row r="2095" spans="1:11" x14ac:dyDescent="0.25">
      <c r="H2095" t="s">
        <v>323</v>
      </c>
      <c r="I2095" s="4">
        <v>100000</v>
      </c>
    </row>
    <row r="2096" spans="1:11" x14ac:dyDescent="0.25">
      <c r="H2096" t="s">
        <v>464</v>
      </c>
      <c r="I2096" s="4">
        <v>40000</v>
      </c>
    </row>
    <row r="2098" spans="1:11" x14ac:dyDescent="0.25">
      <c r="H2098" t="s">
        <v>17</v>
      </c>
      <c r="I2098" s="4">
        <f>SUM(I2092:I2097)</f>
        <v>420000</v>
      </c>
    </row>
    <row r="2100" spans="1:11" x14ac:dyDescent="0.25">
      <c r="A2100" s="1" t="s">
        <v>0</v>
      </c>
      <c r="B2100" s="1" t="s">
        <v>1</v>
      </c>
      <c r="C2100" s="1" t="s">
        <v>2</v>
      </c>
      <c r="D2100" s="1" t="s">
        <v>3</v>
      </c>
      <c r="E2100" s="1" t="s">
        <v>4</v>
      </c>
      <c r="F2100" s="2" t="s">
        <v>5</v>
      </c>
      <c r="G2100" s="9" t="s">
        <v>40</v>
      </c>
      <c r="H2100" s="1" t="s">
        <v>6</v>
      </c>
      <c r="I2100" s="2" t="s">
        <v>7</v>
      </c>
      <c r="J2100" s="1" t="s">
        <v>8</v>
      </c>
      <c r="K2100" s="1" t="s">
        <v>9</v>
      </c>
    </row>
    <row r="2101" spans="1:11" x14ac:dyDescent="0.25">
      <c r="A2101" s="3">
        <v>45388</v>
      </c>
      <c r="B2101" t="s">
        <v>953</v>
      </c>
      <c r="C2101" t="s">
        <v>954</v>
      </c>
      <c r="D2101" t="s">
        <v>31</v>
      </c>
      <c r="F2101" s="4">
        <v>17667</v>
      </c>
      <c r="G2101" s="10" t="s">
        <v>955</v>
      </c>
      <c r="H2101" t="s">
        <v>956</v>
      </c>
    </row>
    <row r="2102" spans="1:11" x14ac:dyDescent="0.25">
      <c r="H2102" t="s">
        <v>957</v>
      </c>
    </row>
    <row r="2104" spans="1:11" x14ac:dyDescent="0.25">
      <c r="H2104" t="s">
        <v>17</v>
      </c>
    </row>
    <row r="2106" spans="1:11" x14ac:dyDescent="0.25">
      <c r="A2106" s="1" t="s">
        <v>0</v>
      </c>
      <c r="B2106" s="1" t="s">
        <v>1</v>
      </c>
      <c r="C2106" s="1" t="s">
        <v>2</v>
      </c>
      <c r="D2106" s="1" t="s">
        <v>3</v>
      </c>
      <c r="E2106" s="1" t="s">
        <v>4</v>
      </c>
      <c r="F2106" s="2" t="s">
        <v>5</v>
      </c>
      <c r="G2106" s="9" t="s">
        <v>40</v>
      </c>
      <c r="H2106" s="1" t="s">
        <v>6</v>
      </c>
      <c r="I2106" s="2" t="s">
        <v>7</v>
      </c>
      <c r="J2106" s="1" t="s">
        <v>8</v>
      </c>
      <c r="K2106" s="1" t="s">
        <v>9</v>
      </c>
    </row>
    <row r="2107" spans="1:11" x14ac:dyDescent="0.25">
      <c r="A2107" s="3">
        <v>45388</v>
      </c>
      <c r="B2107" t="s">
        <v>730</v>
      </c>
      <c r="C2107" t="s">
        <v>958</v>
      </c>
      <c r="D2107" t="s">
        <v>87</v>
      </c>
      <c r="F2107" s="4">
        <v>21644</v>
      </c>
      <c r="H2107" t="s">
        <v>106</v>
      </c>
      <c r="I2107" s="4">
        <v>150000</v>
      </c>
    </row>
    <row r="2108" spans="1:11" x14ac:dyDescent="0.25">
      <c r="H2108" t="s">
        <v>14</v>
      </c>
      <c r="I2108" s="4">
        <v>204000</v>
      </c>
    </row>
    <row r="2109" spans="1:11" x14ac:dyDescent="0.25">
      <c r="H2109" t="s">
        <v>15</v>
      </c>
      <c r="I2109" s="4">
        <v>46000</v>
      </c>
    </row>
    <row r="2110" spans="1:11" x14ac:dyDescent="0.25">
      <c r="H2110" t="s">
        <v>16</v>
      </c>
      <c r="I2110" s="4">
        <v>30000</v>
      </c>
    </row>
    <row r="2112" spans="1:11" x14ac:dyDescent="0.25">
      <c r="H2112" t="s">
        <v>17</v>
      </c>
      <c r="I2112" s="4">
        <f>SUM(I2107:I2111)</f>
        <v>430000</v>
      </c>
    </row>
    <row r="2114" spans="1:11" x14ac:dyDescent="0.25">
      <c r="A2114" s="1" t="s">
        <v>0</v>
      </c>
      <c r="B2114" s="1" t="s">
        <v>1</v>
      </c>
      <c r="C2114" s="1" t="s">
        <v>2</v>
      </c>
      <c r="D2114" s="1" t="s">
        <v>3</v>
      </c>
      <c r="E2114" s="1" t="s">
        <v>4</v>
      </c>
      <c r="F2114" s="2" t="s">
        <v>5</v>
      </c>
      <c r="G2114" s="9" t="s">
        <v>40</v>
      </c>
      <c r="H2114" s="1" t="s">
        <v>6</v>
      </c>
      <c r="I2114" s="2" t="s">
        <v>7</v>
      </c>
      <c r="J2114" s="1" t="s">
        <v>8</v>
      </c>
      <c r="K2114" s="1" t="s">
        <v>9</v>
      </c>
    </row>
    <row r="2115" spans="1:11" x14ac:dyDescent="0.25">
      <c r="A2115" s="3">
        <v>45388</v>
      </c>
      <c r="B2115" t="s">
        <v>10</v>
      </c>
      <c r="C2115" t="s">
        <v>98</v>
      </c>
      <c r="D2115" t="s">
        <v>26</v>
      </c>
      <c r="F2115" s="4">
        <v>79510</v>
      </c>
      <c r="G2115" s="10" t="s">
        <v>959</v>
      </c>
      <c r="H2115" t="s">
        <v>319</v>
      </c>
      <c r="I2115" s="4">
        <v>80000</v>
      </c>
    </row>
    <row r="2116" spans="1:11" x14ac:dyDescent="0.25">
      <c r="H2116" t="s">
        <v>114</v>
      </c>
      <c r="I2116" s="4">
        <v>50000</v>
      </c>
    </row>
    <row r="2117" spans="1:11" x14ac:dyDescent="0.25">
      <c r="H2117" t="s">
        <v>320</v>
      </c>
      <c r="I2117" s="4">
        <v>260000</v>
      </c>
    </row>
    <row r="2119" spans="1:11" x14ac:dyDescent="0.25">
      <c r="H2119" t="s">
        <v>17</v>
      </c>
      <c r="I2119" s="4">
        <f>SUM(I2115:I2118)</f>
        <v>390000</v>
      </c>
    </row>
    <row r="2121" spans="1:11" x14ac:dyDescent="0.25">
      <c r="A2121" s="1" t="s">
        <v>0</v>
      </c>
      <c r="B2121" s="1" t="s">
        <v>1</v>
      </c>
      <c r="C2121" s="1" t="s">
        <v>2</v>
      </c>
      <c r="D2121" s="1" t="s">
        <v>3</v>
      </c>
      <c r="E2121" s="1" t="s">
        <v>4</v>
      </c>
      <c r="F2121" s="2" t="s">
        <v>5</v>
      </c>
      <c r="G2121" s="9" t="s">
        <v>40</v>
      </c>
      <c r="H2121" s="1" t="s">
        <v>6</v>
      </c>
      <c r="I2121" s="2" t="s">
        <v>7</v>
      </c>
      <c r="J2121" s="1" t="s">
        <v>8</v>
      </c>
      <c r="K2121" s="1" t="s">
        <v>9</v>
      </c>
    </row>
    <row r="2122" spans="1:11" x14ac:dyDescent="0.25">
      <c r="A2122" s="3">
        <v>45388</v>
      </c>
      <c r="B2122" t="s">
        <v>1205</v>
      </c>
      <c r="C2122" t="s">
        <v>1206</v>
      </c>
      <c r="E2122">
        <v>2019</v>
      </c>
      <c r="G2122" s="10" t="s">
        <v>1207</v>
      </c>
      <c r="H2122" t="s">
        <v>59</v>
      </c>
    </row>
    <row r="2123" spans="1:11" x14ac:dyDescent="0.25">
      <c r="H2123" t="s">
        <v>1208</v>
      </c>
    </row>
    <row r="2124" spans="1:11" x14ac:dyDescent="0.25">
      <c r="H2124" t="s">
        <v>1209</v>
      </c>
    </row>
    <row r="2126" spans="1:11" x14ac:dyDescent="0.25">
      <c r="H2126" t="s">
        <v>17</v>
      </c>
    </row>
    <row r="2128" spans="1:11" x14ac:dyDescent="0.25">
      <c r="A2128" s="1" t="s">
        <v>0</v>
      </c>
      <c r="B2128" s="1" t="s">
        <v>1</v>
      </c>
      <c r="C2128" s="1" t="s">
        <v>2</v>
      </c>
      <c r="D2128" s="1" t="s">
        <v>3</v>
      </c>
      <c r="E2128" s="1" t="s">
        <v>4</v>
      </c>
      <c r="F2128" s="2" t="s">
        <v>5</v>
      </c>
      <c r="G2128" s="9" t="s">
        <v>40</v>
      </c>
      <c r="H2128" s="1" t="s">
        <v>6</v>
      </c>
      <c r="I2128" s="2" t="s">
        <v>7</v>
      </c>
      <c r="J2128" s="1" t="s">
        <v>8</v>
      </c>
      <c r="K2128" s="1" t="s">
        <v>9</v>
      </c>
    </row>
    <row r="2129" spans="1:11" x14ac:dyDescent="0.25">
      <c r="A2129" s="3">
        <v>45390</v>
      </c>
      <c r="B2129" t="s">
        <v>29</v>
      </c>
      <c r="C2129" t="s">
        <v>960</v>
      </c>
      <c r="D2129" t="s">
        <v>841</v>
      </c>
      <c r="E2129">
        <v>2009</v>
      </c>
      <c r="G2129" s="10" t="s">
        <v>961</v>
      </c>
      <c r="H2129" t="s">
        <v>14</v>
      </c>
      <c r="I2129" s="4">
        <v>150000</v>
      </c>
    </row>
    <row r="2130" spans="1:11" x14ac:dyDescent="0.25">
      <c r="H2130" t="s">
        <v>962</v>
      </c>
      <c r="I2130" s="4">
        <v>80000</v>
      </c>
    </row>
    <row r="2131" spans="1:11" x14ac:dyDescent="0.25">
      <c r="H2131" t="s">
        <v>963</v>
      </c>
      <c r="I2131" s="4">
        <v>110000</v>
      </c>
    </row>
    <row r="2132" spans="1:11" x14ac:dyDescent="0.25">
      <c r="H2132" t="s">
        <v>33</v>
      </c>
      <c r="I2132" s="4">
        <v>20000</v>
      </c>
    </row>
    <row r="2133" spans="1:11" x14ac:dyDescent="0.25">
      <c r="H2133" t="s">
        <v>15</v>
      </c>
      <c r="I2133" s="4">
        <v>46000</v>
      </c>
    </row>
    <row r="2135" spans="1:11" x14ac:dyDescent="0.25">
      <c r="H2135" t="s">
        <v>17</v>
      </c>
      <c r="I2135" s="4">
        <f>SUM(I2129:I2134)</f>
        <v>406000</v>
      </c>
    </row>
    <row r="2137" spans="1:11" x14ac:dyDescent="0.25">
      <c r="A2137" s="1" t="s">
        <v>0</v>
      </c>
      <c r="B2137" s="1" t="s">
        <v>1</v>
      </c>
      <c r="C2137" s="1" t="s">
        <v>2</v>
      </c>
      <c r="D2137" s="1" t="s">
        <v>3</v>
      </c>
      <c r="E2137" s="1" t="s">
        <v>4</v>
      </c>
      <c r="F2137" s="2" t="s">
        <v>5</v>
      </c>
      <c r="G2137" s="9" t="s">
        <v>40</v>
      </c>
      <c r="H2137" s="1" t="s">
        <v>6</v>
      </c>
      <c r="I2137" s="2" t="s">
        <v>7</v>
      </c>
      <c r="J2137" s="1" t="s">
        <v>8</v>
      </c>
      <c r="K2137" s="1" t="s">
        <v>9</v>
      </c>
    </row>
    <row r="2138" spans="1:11" x14ac:dyDescent="0.25">
      <c r="A2138" s="3">
        <v>45390</v>
      </c>
      <c r="B2138" t="s">
        <v>29</v>
      </c>
      <c r="C2138" t="s">
        <v>481</v>
      </c>
      <c r="D2138" t="s">
        <v>19</v>
      </c>
      <c r="F2138" s="4">
        <v>151686</v>
      </c>
      <c r="G2138" s="10" t="s">
        <v>482</v>
      </c>
      <c r="H2138" t="s">
        <v>106</v>
      </c>
    </row>
    <row r="2139" spans="1:11" x14ac:dyDescent="0.25">
      <c r="H2139" t="s">
        <v>964</v>
      </c>
    </row>
    <row r="2140" spans="1:11" x14ac:dyDescent="0.25">
      <c r="H2140" t="s">
        <v>95</v>
      </c>
    </row>
    <row r="2142" spans="1:11" x14ac:dyDescent="0.25">
      <c r="H2142" t="s">
        <v>17</v>
      </c>
    </row>
    <row r="2144" spans="1:11" x14ac:dyDescent="0.25">
      <c r="A2144" s="1" t="s">
        <v>0</v>
      </c>
      <c r="B2144" s="1" t="s">
        <v>1</v>
      </c>
      <c r="C2144" s="1" t="s">
        <v>2</v>
      </c>
      <c r="D2144" s="1" t="s">
        <v>3</v>
      </c>
      <c r="E2144" s="1" t="s">
        <v>4</v>
      </c>
      <c r="F2144" s="2" t="s">
        <v>5</v>
      </c>
      <c r="G2144" s="9" t="s">
        <v>40</v>
      </c>
      <c r="H2144" s="1" t="s">
        <v>6</v>
      </c>
      <c r="I2144" s="2" t="s">
        <v>7</v>
      </c>
      <c r="J2144" s="1" t="s">
        <v>8</v>
      </c>
      <c r="K2144" s="1" t="s">
        <v>9</v>
      </c>
    </row>
    <row r="2145" spans="1:11" x14ac:dyDescent="0.25">
      <c r="A2145" s="3">
        <v>45390</v>
      </c>
      <c r="B2145" t="s">
        <v>10</v>
      </c>
      <c r="C2145" t="s">
        <v>117</v>
      </c>
      <c r="D2145" t="s">
        <v>118</v>
      </c>
      <c r="G2145" s="10" t="s">
        <v>641</v>
      </c>
      <c r="H2145" t="s">
        <v>37</v>
      </c>
    </row>
    <row r="2146" spans="1:11" x14ac:dyDescent="0.25">
      <c r="H2146" t="s">
        <v>50</v>
      </c>
    </row>
    <row r="2148" spans="1:11" x14ac:dyDescent="0.25">
      <c r="H2148" t="s">
        <v>17</v>
      </c>
    </row>
    <row r="2150" spans="1:11" x14ac:dyDescent="0.25">
      <c r="A2150" s="1" t="s">
        <v>0</v>
      </c>
      <c r="B2150" s="1" t="s">
        <v>1</v>
      </c>
      <c r="C2150" s="1" t="s">
        <v>2</v>
      </c>
      <c r="D2150" s="1" t="s">
        <v>3</v>
      </c>
      <c r="E2150" s="1" t="s">
        <v>4</v>
      </c>
      <c r="F2150" s="2" t="s">
        <v>5</v>
      </c>
      <c r="G2150" s="9" t="s">
        <v>40</v>
      </c>
      <c r="H2150" s="1" t="s">
        <v>6</v>
      </c>
      <c r="I2150" s="2" t="s">
        <v>7</v>
      </c>
      <c r="J2150" s="1" t="s">
        <v>8</v>
      </c>
      <c r="K2150" s="1" t="s">
        <v>9</v>
      </c>
    </row>
    <row r="2151" spans="1:11" x14ac:dyDescent="0.25">
      <c r="A2151" s="3">
        <v>45390</v>
      </c>
      <c r="B2151" t="s">
        <v>10</v>
      </c>
      <c r="C2151" t="s">
        <v>965</v>
      </c>
      <c r="D2151" t="s">
        <v>26</v>
      </c>
      <c r="F2151" s="4">
        <v>60940</v>
      </c>
      <c r="G2151" s="10" t="s">
        <v>966</v>
      </c>
      <c r="H2151" t="s">
        <v>967</v>
      </c>
      <c r="I2151" s="4">
        <v>230000</v>
      </c>
    </row>
    <row r="2152" spans="1:11" x14ac:dyDescent="0.25">
      <c r="H2152" t="s">
        <v>14</v>
      </c>
      <c r="I2152" s="4">
        <v>232000</v>
      </c>
    </row>
    <row r="2153" spans="1:11" x14ac:dyDescent="0.25">
      <c r="H2153" t="s">
        <v>15</v>
      </c>
      <c r="I2153" s="4">
        <v>46000</v>
      </c>
    </row>
    <row r="2154" spans="1:11" x14ac:dyDescent="0.25">
      <c r="H2154" t="s">
        <v>38</v>
      </c>
      <c r="I2154" s="4">
        <v>715000</v>
      </c>
    </row>
    <row r="2155" spans="1:11" x14ac:dyDescent="0.25">
      <c r="H2155" t="s">
        <v>48</v>
      </c>
      <c r="I2155" s="4">
        <v>80000</v>
      </c>
    </row>
    <row r="2156" spans="1:11" x14ac:dyDescent="0.25">
      <c r="H2156" t="s">
        <v>108</v>
      </c>
      <c r="I2156" s="4">
        <v>35000</v>
      </c>
    </row>
    <row r="2157" spans="1:11" x14ac:dyDescent="0.25">
      <c r="H2157" t="s">
        <v>968</v>
      </c>
      <c r="I2157" s="4">
        <v>120000</v>
      </c>
    </row>
    <row r="2158" spans="1:11" x14ac:dyDescent="0.25">
      <c r="H2158" t="s">
        <v>33</v>
      </c>
      <c r="I2158" s="4">
        <v>20000</v>
      </c>
    </row>
    <row r="2159" spans="1:11" x14ac:dyDescent="0.25">
      <c r="H2159" t="s">
        <v>517</v>
      </c>
      <c r="I2159" s="4">
        <v>634000</v>
      </c>
    </row>
    <row r="2161" spans="1:11" x14ac:dyDescent="0.25">
      <c r="H2161" t="s">
        <v>17</v>
      </c>
      <c r="I2161" s="4">
        <f>SUM(I2151:I2160)</f>
        <v>2112000</v>
      </c>
    </row>
    <row r="2163" spans="1:11" x14ac:dyDescent="0.25">
      <c r="A2163" s="1" t="s">
        <v>0</v>
      </c>
      <c r="B2163" s="1" t="s">
        <v>1</v>
      </c>
      <c r="C2163" s="1" t="s">
        <v>2</v>
      </c>
      <c r="D2163" s="1" t="s">
        <v>3</v>
      </c>
      <c r="E2163" s="1" t="s">
        <v>4</v>
      </c>
      <c r="F2163" s="2" t="s">
        <v>5</v>
      </c>
      <c r="G2163" s="9" t="s">
        <v>40</v>
      </c>
      <c r="H2163" s="1" t="s">
        <v>6</v>
      </c>
      <c r="I2163" s="2" t="s">
        <v>7</v>
      </c>
      <c r="J2163" s="1" t="s">
        <v>8</v>
      </c>
      <c r="K2163" s="1" t="s">
        <v>9</v>
      </c>
    </row>
    <row r="2164" spans="1:11" x14ac:dyDescent="0.25">
      <c r="A2164" s="3">
        <v>45390</v>
      </c>
      <c r="B2164" t="s">
        <v>10</v>
      </c>
      <c r="C2164" t="s">
        <v>1192</v>
      </c>
      <c r="D2164" t="s">
        <v>1193</v>
      </c>
      <c r="E2164">
        <v>2011</v>
      </c>
      <c r="G2164" s="10" t="s">
        <v>1194</v>
      </c>
      <c r="H2164" t="s">
        <v>1032</v>
      </c>
      <c r="I2164" s="4">
        <v>1700000</v>
      </c>
    </row>
    <row r="2165" spans="1:11" x14ac:dyDescent="0.25">
      <c r="H2165" t="s">
        <v>132</v>
      </c>
      <c r="I2165" s="4">
        <v>420000</v>
      </c>
    </row>
    <row r="2166" spans="1:11" x14ac:dyDescent="0.25">
      <c r="H2166" t="s">
        <v>37</v>
      </c>
      <c r="I2166" s="4">
        <v>320000</v>
      </c>
    </row>
    <row r="2167" spans="1:11" x14ac:dyDescent="0.25">
      <c r="H2167" t="s">
        <v>1195</v>
      </c>
      <c r="I2167" s="4">
        <v>42000</v>
      </c>
    </row>
    <row r="2168" spans="1:11" x14ac:dyDescent="0.25">
      <c r="H2168" t="s">
        <v>525</v>
      </c>
      <c r="I2168" s="4">
        <v>37000</v>
      </c>
    </row>
    <row r="2169" spans="1:11" x14ac:dyDescent="0.25">
      <c r="H2169" t="s">
        <v>691</v>
      </c>
      <c r="I2169" s="4">
        <v>200000</v>
      </c>
    </row>
    <row r="2170" spans="1:11" x14ac:dyDescent="0.25">
      <c r="H2170" t="s">
        <v>47</v>
      </c>
      <c r="I2170" s="4">
        <v>180000</v>
      </c>
    </row>
    <row r="2171" spans="1:11" x14ac:dyDescent="0.25">
      <c r="H2171" t="s">
        <v>61</v>
      </c>
      <c r="I2171" s="4">
        <v>140000</v>
      </c>
    </row>
    <row r="2172" spans="1:11" x14ac:dyDescent="0.25">
      <c r="H2172" t="s">
        <v>1196</v>
      </c>
      <c r="I2172" s="4">
        <v>140000</v>
      </c>
    </row>
    <row r="2173" spans="1:11" x14ac:dyDescent="0.25">
      <c r="H2173" t="s">
        <v>348</v>
      </c>
      <c r="I2173" s="4">
        <v>20000</v>
      </c>
    </row>
    <row r="2174" spans="1:11" x14ac:dyDescent="0.25">
      <c r="H2174" t="s">
        <v>1197</v>
      </c>
      <c r="I2174" s="4">
        <v>28000</v>
      </c>
    </row>
    <row r="2176" spans="1:11" x14ac:dyDescent="0.25">
      <c r="H2176" t="s">
        <v>17</v>
      </c>
      <c r="I2176" s="4">
        <f>SUM(I2164:I2175)</f>
        <v>3227000</v>
      </c>
    </row>
    <row r="2178" spans="1:11" x14ac:dyDescent="0.25">
      <c r="A2178" s="1" t="s">
        <v>0</v>
      </c>
      <c r="B2178" s="1" t="s">
        <v>1</v>
      </c>
      <c r="C2178" s="1" t="s">
        <v>2</v>
      </c>
      <c r="D2178" s="1" t="s">
        <v>3</v>
      </c>
      <c r="E2178" s="1" t="s">
        <v>4</v>
      </c>
      <c r="F2178" s="2" t="s">
        <v>5</v>
      </c>
      <c r="G2178" s="9" t="s">
        <v>40</v>
      </c>
      <c r="H2178" s="1" t="s">
        <v>6</v>
      </c>
      <c r="I2178" s="2" t="s">
        <v>7</v>
      </c>
      <c r="J2178" s="1" t="s">
        <v>8</v>
      </c>
      <c r="K2178" s="1" t="s">
        <v>9</v>
      </c>
    </row>
    <row r="2179" spans="1:11" x14ac:dyDescent="0.25">
      <c r="A2179" s="3">
        <v>45391</v>
      </c>
      <c r="B2179" t="s">
        <v>10</v>
      </c>
      <c r="C2179" t="s">
        <v>245</v>
      </c>
      <c r="D2179" t="s">
        <v>19</v>
      </c>
      <c r="F2179" s="4">
        <v>121584</v>
      </c>
      <c r="G2179" s="10" t="s">
        <v>969</v>
      </c>
      <c r="H2179" t="s">
        <v>907</v>
      </c>
      <c r="I2179" s="4">
        <v>180000</v>
      </c>
    </row>
    <row r="2180" spans="1:11" x14ac:dyDescent="0.25">
      <c r="H2180" t="s">
        <v>838</v>
      </c>
      <c r="I2180" s="4">
        <v>35000</v>
      </c>
    </row>
    <row r="2181" spans="1:11" x14ac:dyDescent="0.25">
      <c r="H2181" t="s">
        <v>970</v>
      </c>
      <c r="I2181" s="4">
        <v>550000</v>
      </c>
    </row>
    <row r="2182" spans="1:11" x14ac:dyDescent="0.25">
      <c r="H2182" t="s">
        <v>971</v>
      </c>
      <c r="I2182" s="4">
        <v>560000</v>
      </c>
    </row>
    <row r="2184" spans="1:11" x14ac:dyDescent="0.25">
      <c r="H2184" t="s">
        <v>17</v>
      </c>
      <c r="I2184" s="4">
        <f>SUM(I2179:I2183)</f>
        <v>1325000</v>
      </c>
    </row>
    <row r="2186" spans="1:11" x14ac:dyDescent="0.25">
      <c r="A2186" s="1" t="s">
        <v>0</v>
      </c>
      <c r="B2186" s="1" t="s">
        <v>1</v>
      </c>
      <c r="C2186" s="1" t="s">
        <v>2</v>
      </c>
      <c r="D2186" s="1" t="s">
        <v>3</v>
      </c>
      <c r="E2186" s="1" t="s">
        <v>4</v>
      </c>
      <c r="F2186" s="2" t="s">
        <v>5</v>
      </c>
      <c r="G2186" s="9" t="s">
        <v>40</v>
      </c>
      <c r="H2186" s="1" t="s">
        <v>6</v>
      </c>
      <c r="I2186" s="2" t="s">
        <v>7</v>
      </c>
      <c r="J2186" s="1" t="s">
        <v>8</v>
      </c>
      <c r="K2186" s="1" t="s">
        <v>9</v>
      </c>
    </row>
    <row r="2187" spans="1:11" x14ac:dyDescent="0.25">
      <c r="A2187" s="3">
        <v>45391</v>
      </c>
      <c r="B2187" t="s">
        <v>10</v>
      </c>
      <c r="C2187" t="s">
        <v>972</v>
      </c>
      <c r="D2187" t="s">
        <v>12</v>
      </c>
      <c r="F2187" s="4">
        <v>53115</v>
      </c>
      <c r="G2187" s="10" t="s">
        <v>973</v>
      </c>
      <c r="H2187" t="s">
        <v>733</v>
      </c>
      <c r="I2187" s="4">
        <v>200000</v>
      </c>
    </row>
    <row r="2188" spans="1:11" x14ac:dyDescent="0.25">
      <c r="H2188" t="s">
        <v>15</v>
      </c>
      <c r="I2188" s="4">
        <v>46000</v>
      </c>
    </row>
    <row r="2189" spans="1:11" x14ac:dyDescent="0.25">
      <c r="H2189" t="s">
        <v>50</v>
      </c>
      <c r="I2189" s="4">
        <v>105000</v>
      </c>
    </row>
    <row r="2190" spans="1:11" x14ac:dyDescent="0.25">
      <c r="H2190" t="s">
        <v>974</v>
      </c>
      <c r="I2190" s="4">
        <v>80000</v>
      </c>
    </row>
    <row r="2191" spans="1:11" x14ac:dyDescent="0.25">
      <c r="H2191" t="s">
        <v>862</v>
      </c>
      <c r="I2191" s="4">
        <v>30000</v>
      </c>
    </row>
    <row r="2192" spans="1:11" x14ac:dyDescent="0.25">
      <c r="H2192" t="s">
        <v>975</v>
      </c>
      <c r="I2192" s="4">
        <v>40000</v>
      </c>
    </row>
    <row r="2194" spans="1:11" x14ac:dyDescent="0.25">
      <c r="H2194" t="s">
        <v>17</v>
      </c>
      <c r="I2194" s="4">
        <f>SUM(I2187:I2193)</f>
        <v>501000</v>
      </c>
    </row>
    <row r="2196" spans="1:11" x14ac:dyDescent="0.25">
      <c r="A2196" s="1" t="s">
        <v>0</v>
      </c>
      <c r="B2196" s="1" t="s">
        <v>1</v>
      </c>
      <c r="C2196" s="1" t="s">
        <v>2</v>
      </c>
      <c r="D2196" s="1" t="s">
        <v>3</v>
      </c>
      <c r="E2196" s="1" t="s">
        <v>4</v>
      </c>
      <c r="F2196" s="2" t="s">
        <v>5</v>
      </c>
      <c r="G2196" s="9" t="s">
        <v>40</v>
      </c>
      <c r="H2196" s="1" t="s">
        <v>6</v>
      </c>
      <c r="I2196" s="2" t="s">
        <v>7</v>
      </c>
      <c r="J2196" s="1" t="s">
        <v>8</v>
      </c>
      <c r="K2196" s="1" t="s">
        <v>9</v>
      </c>
    </row>
    <row r="2197" spans="1:11" x14ac:dyDescent="0.25">
      <c r="A2197" s="3">
        <v>45391</v>
      </c>
      <c r="B2197" t="s">
        <v>1198</v>
      </c>
      <c r="C2197" t="s">
        <v>1199</v>
      </c>
      <c r="D2197" t="s">
        <v>12</v>
      </c>
      <c r="G2197" s="10" t="s">
        <v>1200</v>
      </c>
      <c r="H2197" t="s">
        <v>190</v>
      </c>
    </row>
    <row r="2198" spans="1:11" x14ac:dyDescent="0.25">
      <c r="H2198" t="s">
        <v>1201</v>
      </c>
    </row>
    <row r="2199" spans="1:11" x14ac:dyDescent="0.25">
      <c r="H2199" t="s">
        <v>1202</v>
      </c>
    </row>
    <row r="2200" spans="1:11" x14ac:dyDescent="0.25">
      <c r="H2200" t="s">
        <v>1203</v>
      </c>
    </row>
    <row r="2201" spans="1:11" x14ac:dyDescent="0.25">
      <c r="H2201" t="s">
        <v>1204</v>
      </c>
    </row>
    <row r="2203" spans="1:11" x14ac:dyDescent="0.25">
      <c r="H2203" t="s">
        <v>17</v>
      </c>
    </row>
    <row r="2205" spans="1:11" x14ac:dyDescent="0.25">
      <c r="A2205" s="1" t="s">
        <v>0</v>
      </c>
      <c r="B2205" s="1" t="s">
        <v>1</v>
      </c>
      <c r="C2205" s="1" t="s">
        <v>2</v>
      </c>
      <c r="D2205" s="1" t="s">
        <v>3</v>
      </c>
      <c r="E2205" s="1" t="s">
        <v>4</v>
      </c>
      <c r="F2205" s="2" t="s">
        <v>5</v>
      </c>
      <c r="G2205" s="9" t="s">
        <v>40</v>
      </c>
      <c r="H2205" s="1" t="s">
        <v>6</v>
      </c>
      <c r="I2205" s="2" t="s">
        <v>7</v>
      </c>
      <c r="J2205" s="1" t="s">
        <v>8</v>
      </c>
      <c r="K2205" s="1" t="s">
        <v>9</v>
      </c>
    </row>
    <row r="2206" spans="1:11" x14ac:dyDescent="0.25">
      <c r="A2206" s="3">
        <v>45391</v>
      </c>
      <c r="B2206" t="s">
        <v>201</v>
      </c>
      <c r="C2206" t="s">
        <v>295</v>
      </c>
      <c r="D2206" t="s">
        <v>19</v>
      </c>
      <c r="E2206">
        <v>2023</v>
      </c>
      <c r="F2206" s="4">
        <v>38853</v>
      </c>
      <c r="G2206" s="10" t="s">
        <v>976</v>
      </c>
      <c r="H2206" t="s">
        <v>37</v>
      </c>
      <c r="I2206" s="4">
        <v>220000</v>
      </c>
    </row>
    <row r="2207" spans="1:11" x14ac:dyDescent="0.25">
      <c r="H2207" t="s">
        <v>14</v>
      </c>
      <c r="I2207" s="4">
        <v>54000</v>
      </c>
    </row>
    <row r="2208" spans="1:11" x14ac:dyDescent="0.25">
      <c r="H2208" t="s">
        <v>48</v>
      </c>
      <c r="I2208" s="4">
        <v>35000</v>
      </c>
    </row>
    <row r="2209" spans="1:11" x14ac:dyDescent="0.25">
      <c r="H2209" t="s">
        <v>50</v>
      </c>
      <c r="I2209" s="4">
        <v>35000</v>
      </c>
    </row>
    <row r="2211" spans="1:11" x14ac:dyDescent="0.25">
      <c r="H2211" t="s">
        <v>17</v>
      </c>
      <c r="I2211" s="4">
        <f>SUM(I2206:I2210)</f>
        <v>344000</v>
      </c>
    </row>
    <row r="2213" spans="1:11" x14ac:dyDescent="0.25">
      <c r="A2213" s="1" t="s">
        <v>0</v>
      </c>
      <c r="B2213" s="1" t="s">
        <v>1</v>
      </c>
      <c r="C2213" s="1" t="s">
        <v>2</v>
      </c>
      <c r="D2213" s="1" t="s">
        <v>3</v>
      </c>
      <c r="E2213" s="1" t="s">
        <v>4</v>
      </c>
      <c r="F2213" s="2" t="s">
        <v>5</v>
      </c>
      <c r="G2213" s="9" t="s">
        <v>40</v>
      </c>
      <c r="H2213" s="1" t="s">
        <v>6</v>
      </c>
      <c r="I2213" s="2" t="s">
        <v>7</v>
      </c>
      <c r="J2213" s="1" t="s">
        <v>8</v>
      </c>
      <c r="K2213" s="1" t="s">
        <v>9</v>
      </c>
    </row>
    <row r="2214" spans="1:11" x14ac:dyDescent="0.25">
      <c r="A2214" s="3">
        <v>45391</v>
      </c>
      <c r="B2214" t="s">
        <v>588</v>
      </c>
      <c r="C2214" t="s">
        <v>977</v>
      </c>
      <c r="D2214" t="s">
        <v>836</v>
      </c>
      <c r="E2214">
        <v>2023</v>
      </c>
      <c r="G2214" s="10" t="s">
        <v>978</v>
      </c>
      <c r="H2214" t="s">
        <v>37</v>
      </c>
      <c r="I2214" s="4">
        <v>250000</v>
      </c>
    </row>
    <row r="2215" spans="1:11" x14ac:dyDescent="0.25">
      <c r="H2215" t="s">
        <v>33</v>
      </c>
      <c r="I2215" s="4">
        <v>20000</v>
      </c>
    </row>
    <row r="2217" spans="1:11" x14ac:dyDescent="0.25">
      <c r="H2217" t="s">
        <v>17</v>
      </c>
      <c r="I2217" s="4">
        <f>SUM(I2214:I2216)</f>
        <v>270000</v>
      </c>
    </row>
    <row r="2219" spans="1:11" x14ac:dyDescent="0.25">
      <c r="A2219" s="1" t="s">
        <v>0</v>
      </c>
      <c r="B2219" s="1" t="s">
        <v>1</v>
      </c>
      <c r="C2219" s="1" t="s">
        <v>2</v>
      </c>
      <c r="D2219" s="1" t="s">
        <v>3</v>
      </c>
      <c r="E2219" s="1" t="s">
        <v>4</v>
      </c>
      <c r="F2219" s="2" t="s">
        <v>5</v>
      </c>
      <c r="G2219" s="9" t="s">
        <v>40</v>
      </c>
      <c r="H2219" s="1" t="s">
        <v>6</v>
      </c>
      <c r="I2219" s="2" t="s">
        <v>7</v>
      </c>
      <c r="J2219" s="1" t="s">
        <v>8</v>
      </c>
      <c r="K2219" s="1" t="s">
        <v>9</v>
      </c>
    </row>
    <row r="2220" spans="1:11" x14ac:dyDescent="0.25">
      <c r="A2220" s="3">
        <v>45391</v>
      </c>
      <c r="B2220" t="s">
        <v>278</v>
      </c>
      <c r="D2220" t="s">
        <v>19</v>
      </c>
      <c r="G2220" s="10" t="s">
        <v>1062</v>
      </c>
      <c r="H2220" t="s">
        <v>14</v>
      </c>
    </row>
    <row r="2221" spans="1:11" x14ac:dyDescent="0.25">
      <c r="H2221" t="s">
        <v>822</v>
      </c>
    </row>
    <row r="2223" spans="1:11" x14ac:dyDescent="0.25">
      <c r="H2223" t="s">
        <v>17</v>
      </c>
    </row>
    <row r="2225" spans="1:11" x14ac:dyDescent="0.25">
      <c r="A2225" s="1" t="s">
        <v>0</v>
      </c>
      <c r="B2225" s="1" t="s">
        <v>1</v>
      </c>
      <c r="C2225" s="1" t="s">
        <v>2</v>
      </c>
      <c r="D2225" s="1" t="s">
        <v>3</v>
      </c>
      <c r="E2225" s="1" t="s">
        <v>4</v>
      </c>
      <c r="F2225" s="2" t="s">
        <v>5</v>
      </c>
      <c r="G2225" s="9" t="s">
        <v>40</v>
      </c>
      <c r="H2225" s="1" t="s">
        <v>6</v>
      </c>
      <c r="I2225" s="2" t="s">
        <v>7</v>
      </c>
      <c r="J2225" s="1" t="s">
        <v>8</v>
      </c>
      <c r="K2225" s="1" t="s">
        <v>9</v>
      </c>
    </row>
    <row r="2226" spans="1:11" x14ac:dyDescent="0.25">
      <c r="A2226" s="3">
        <v>45392</v>
      </c>
      <c r="B2226" t="s">
        <v>10</v>
      </c>
      <c r="C2226" t="s">
        <v>979</v>
      </c>
      <c r="F2226" s="4">
        <v>56638</v>
      </c>
      <c r="G2226" s="10" t="s">
        <v>980</v>
      </c>
      <c r="H2226" t="s">
        <v>14</v>
      </c>
      <c r="I2226" s="4">
        <v>262000</v>
      </c>
    </row>
    <row r="2227" spans="1:11" x14ac:dyDescent="0.25">
      <c r="H2227" t="s">
        <v>15</v>
      </c>
      <c r="I2227" s="4">
        <v>46000</v>
      </c>
    </row>
    <row r="2229" spans="1:11" x14ac:dyDescent="0.25">
      <c r="H2229" t="s">
        <v>17</v>
      </c>
      <c r="I2229" s="4">
        <f>SUM(I2226:I2228)</f>
        <v>308000</v>
      </c>
    </row>
    <row r="2231" spans="1:11" x14ac:dyDescent="0.25">
      <c r="A2231" s="1" t="s">
        <v>0</v>
      </c>
      <c r="B2231" s="1" t="s">
        <v>1</v>
      </c>
      <c r="C2231" s="1" t="s">
        <v>2</v>
      </c>
      <c r="D2231" s="1" t="s">
        <v>3</v>
      </c>
      <c r="E2231" s="1" t="s">
        <v>4</v>
      </c>
      <c r="F2231" s="2" t="s">
        <v>5</v>
      </c>
      <c r="G2231" s="9" t="s">
        <v>40</v>
      </c>
      <c r="H2231" s="1" t="s">
        <v>6</v>
      </c>
      <c r="I2231" s="2" t="s">
        <v>7</v>
      </c>
      <c r="J2231" s="1" t="s">
        <v>8</v>
      </c>
      <c r="K2231" s="1" t="s">
        <v>9</v>
      </c>
    </row>
    <row r="2232" spans="1:11" x14ac:dyDescent="0.25">
      <c r="A2232" s="3">
        <v>45393</v>
      </c>
      <c r="B2232" t="s">
        <v>10</v>
      </c>
      <c r="C2232" t="s">
        <v>1000</v>
      </c>
      <c r="D2232" t="s">
        <v>26</v>
      </c>
      <c r="E2232">
        <v>2020</v>
      </c>
      <c r="F2232" s="4">
        <v>46828</v>
      </c>
      <c r="G2232" s="10" t="s">
        <v>1001</v>
      </c>
      <c r="H2232" t="s">
        <v>59</v>
      </c>
      <c r="I2232" s="4">
        <v>320000</v>
      </c>
    </row>
    <row r="2233" spans="1:11" x14ac:dyDescent="0.25">
      <c r="H2233" t="s">
        <v>51</v>
      </c>
      <c r="I2233" s="4">
        <v>120000</v>
      </c>
    </row>
    <row r="2234" spans="1:11" x14ac:dyDescent="0.25">
      <c r="H2234" t="s">
        <v>20</v>
      </c>
      <c r="I2234" s="4">
        <v>140000</v>
      </c>
    </row>
    <row r="2235" spans="1:11" x14ac:dyDescent="0.25">
      <c r="H2235" t="s">
        <v>50</v>
      </c>
      <c r="I2235" s="4">
        <v>116000</v>
      </c>
    </row>
    <row r="2236" spans="1:11" x14ac:dyDescent="0.25">
      <c r="H2236" t="s">
        <v>1002</v>
      </c>
      <c r="I2236" s="4">
        <v>10000</v>
      </c>
    </row>
    <row r="2238" spans="1:11" x14ac:dyDescent="0.25">
      <c r="H2238" t="s">
        <v>17</v>
      </c>
      <c r="I2238" s="4">
        <f>SUM(I2232:I2237)</f>
        <v>706000</v>
      </c>
    </row>
    <row r="2240" spans="1:11" x14ac:dyDescent="0.25">
      <c r="A2240" s="1" t="s">
        <v>0</v>
      </c>
      <c r="B2240" s="1" t="s">
        <v>1</v>
      </c>
      <c r="C2240" s="1" t="s">
        <v>2</v>
      </c>
      <c r="D2240" s="1" t="s">
        <v>3</v>
      </c>
      <c r="E2240" s="1" t="s">
        <v>4</v>
      </c>
      <c r="F2240" s="2" t="s">
        <v>5</v>
      </c>
      <c r="G2240" s="9" t="s">
        <v>40</v>
      </c>
      <c r="H2240" s="1" t="s">
        <v>6</v>
      </c>
      <c r="I2240" s="2" t="s">
        <v>7</v>
      </c>
      <c r="J2240" s="1" t="s">
        <v>8</v>
      </c>
      <c r="K2240" s="1" t="s">
        <v>9</v>
      </c>
    </row>
    <row r="2241" spans="1:11" x14ac:dyDescent="0.25">
      <c r="A2241" s="3">
        <v>45393</v>
      </c>
      <c r="B2241" t="s">
        <v>29</v>
      </c>
      <c r="C2241" t="s">
        <v>130</v>
      </c>
      <c r="D2241" t="s">
        <v>26</v>
      </c>
      <c r="E2241">
        <v>2012</v>
      </c>
      <c r="G2241" s="10" t="s">
        <v>131</v>
      </c>
      <c r="H2241" t="s">
        <v>1060</v>
      </c>
    </row>
    <row r="2242" spans="1:11" x14ac:dyDescent="0.25">
      <c r="H2242" t="s">
        <v>1061</v>
      </c>
    </row>
    <row r="2244" spans="1:11" x14ac:dyDescent="0.25">
      <c r="H2244" t="s">
        <v>17</v>
      </c>
    </row>
    <row r="2246" spans="1:11" x14ac:dyDescent="0.25">
      <c r="A2246" s="1" t="s">
        <v>0</v>
      </c>
      <c r="B2246" s="1" t="s">
        <v>1</v>
      </c>
      <c r="C2246" s="1" t="s">
        <v>2</v>
      </c>
      <c r="D2246" s="1" t="s">
        <v>3</v>
      </c>
      <c r="E2246" s="1" t="s">
        <v>4</v>
      </c>
      <c r="F2246" s="2" t="s">
        <v>5</v>
      </c>
      <c r="G2246" s="9" t="s">
        <v>40</v>
      </c>
      <c r="H2246" s="1" t="s">
        <v>6</v>
      </c>
      <c r="I2246" s="2" t="s">
        <v>7</v>
      </c>
      <c r="J2246" s="1" t="s">
        <v>8</v>
      </c>
      <c r="K2246" s="1" t="s">
        <v>9</v>
      </c>
    </row>
    <row r="2247" spans="1:11" x14ac:dyDescent="0.25">
      <c r="A2247" s="3">
        <v>45394</v>
      </c>
      <c r="B2247" t="s">
        <v>29</v>
      </c>
      <c r="C2247" t="s">
        <v>946</v>
      </c>
      <c r="D2247" t="s">
        <v>947</v>
      </c>
      <c r="G2247" s="10" t="s">
        <v>948</v>
      </c>
      <c r="H2247" t="s">
        <v>583</v>
      </c>
    </row>
    <row r="2248" spans="1:11" x14ac:dyDescent="0.25">
      <c r="H2248" t="s">
        <v>1003</v>
      </c>
    </row>
    <row r="2250" spans="1:11" x14ac:dyDescent="0.25">
      <c r="H2250" t="s">
        <v>1004</v>
      </c>
      <c r="I2250" s="4">
        <v>469000</v>
      </c>
    </row>
    <row r="2252" spans="1:11" x14ac:dyDescent="0.25">
      <c r="A2252" s="1" t="s">
        <v>0</v>
      </c>
      <c r="B2252" s="1" t="s">
        <v>1</v>
      </c>
      <c r="C2252" s="1" t="s">
        <v>2</v>
      </c>
      <c r="D2252" s="1" t="s">
        <v>3</v>
      </c>
      <c r="E2252" s="1" t="s">
        <v>4</v>
      </c>
      <c r="F2252" s="2" t="s">
        <v>5</v>
      </c>
      <c r="G2252" s="9" t="s">
        <v>40</v>
      </c>
      <c r="H2252" s="1" t="s">
        <v>6</v>
      </c>
      <c r="I2252" s="2" t="s">
        <v>7</v>
      </c>
      <c r="J2252" s="1" t="s">
        <v>8</v>
      </c>
      <c r="K2252" s="1" t="s">
        <v>9</v>
      </c>
    </row>
    <row r="2253" spans="1:11" x14ac:dyDescent="0.25">
      <c r="A2253" s="3">
        <v>45394</v>
      </c>
      <c r="B2253" t="s">
        <v>521</v>
      </c>
      <c r="C2253" t="s">
        <v>1182</v>
      </c>
      <c r="D2253" t="s">
        <v>82</v>
      </c>
      <c r="E2253">
        <v>2013</v>
      </c>
      <c r="G2253" s="10" t="s">
        <v>105</v>
      </c>
      <c r="H2253" t="s">
        <v>231</v>
      </c>
    </row>
    <row r="2255" spans="1:11" x14ac:dyDescent="0.25">
      <c r="H2255" t="s">
        <v>17</v>
      </c>
    </row>
    <row r="2257" spans="1:11" x14ac:dyDescent="0.25">
      <c r="A2257" s="1" t="s">
        <v>0</v>
      </c>
      <c r="B2257" s="1" t="s">
        <v>1</v>
      </c>
      <c r="C2257" s="1" t="s">
        <v>2</v>
      </c>
      <c r="D2257" s="1" t="s">
        <v>3</v>
      </c>
      <c r="E2257" s="1" t="s">
        <v>4</v>
      </c>
      <c r="F2257" s="2" t="s">
        <v>5</v>
      </c>
      <c r="G2257" s="9" t="s">
        <v>40</v>
      </c>
      <c r="H2257" s="1" t="s">
        <v>6</v>
      </c>
      <c r="I2257" s="2" t="s">
        <v>7</v>
      </c>
      <c r="J2257" s="1" t="s">
        <v>8</v>
      </c>
      <c r="K2257" s="1" t="s">
        <v>9</v>
      </c>
    </row>
    <row r="2258" spans="1:11" x14ac:dyDescent="0.25">
      <c r="A2258" s="3">
        <v>45394</v>
      </c>
      <c r="B2258" t="s">
        <v>10</v>
      </c>
      <c r="C2258" t="s">
        <v>1005</v>
      </c>
      <c r="D2258" t="s">
        <v>26</v>
      </c>
      <c r="F2258" s="4">
        <v>1263</v>
      </c>
      <c r="G2258" s="10" t="s">
        <v>177</v>
      </c>
      <c r="H2258" t="s">
        <v>1006</v>
      </c>
      <c r="I2258" s="4">
        <v>208000</v>
      </c>
    </row>
    <row r="2259" spans="1:11" x14ac:dyDescent="0.25">
      <c r="H2259" t="s">
        <v>15</v>
      </c>
      <c r="I2259" s="4">
        <v>46000</v>
      </c>
    </row>
    <row r="2260" spans="1:11" x14ac:dyDescent="0.25">
      <c r="H2260" t="s">
        <v>685</v>
      </c>
      <c r="I2260" s="4">
        <v>40000</v>
      </c>
    </row>
    <row r="2261" spans="1:11" x14ac:dyDescent="0.25">
      <c r="H2261" t="s">
        <v>16</v>
      </c>
      <c r="I2261" s="4">
        <v>30000</v>
      </c>
    </row>
    <row r="2262" spans="1:11" x14ac:dyDescent="0.25">
      <c r="H2262" t="s">
        <v>1007</v>
      </c>
    </row>
    <row r="2264" spans="1:11" x14ac:dyDescent="0.25">
      <c r="H2264" t="s">
        <v>17</v>
      </c>
      <c r="I2264" s="4">
        <f>SUM(I2258:I2263)</f>
        <v>324000</v>
      </c>
    </row>
    <row r="2266" spans="1:11" x14ac:dyDescent="0.25">
      <c r="A2266" s="1" t="s">
        <v>0</v>
      </c>
      <c r="B2266" s="1" t="s">
        <v>1</v>
      </c>
      <c r="C2266" s="1" t="s">
        <v>2</v>
      </c>
      <c r="D2266" s="1" t="s">
        <v>3</v>
      </c>
      <c r="E2266" s="1" t="s">
        <v>4</v>
      </c>
      <c r="F2266" s="2" t="s">
        <v>5</v>
      </c>
      <c r="G2266" s="9" t="s">
        <v>40</v>
      </c>
      <c r="H2266" s="1" t="s">
        <v>6</v>
      </c>
      <c r="I2266" s="2" t="s">
        <v>7</v>
      </c>
      <c r="J2266" s="1" t="s">
        <v>8</v>
      </c>
      <c r="K2266" s="1" t="s">
        <v>9</v>
      </c>
    </row>
    <row r="2267" spans="1:11" x14ac:dyDescent="0.25">
      <c r="A2267" s="3">
        <v>45394</v>
      </c>
      <c r="B2267" t="s">
        <v>10</v>
      </c>
      <c r="C2267" t="s">
        <v>175</v>
      </c>
      <c r="D2267" t="s">
        <v>26</v>
      </c>
      <c r="F2267" s="4">
        <v>1563</v>
      </c>
      <c r="G2267" s="10" t="s">
        <v>176</v>
      </c>
      <c r="H2267" t="s">
        <v>1006</v>
      </c>
      <c r="I2267" s="4">
        <v>208000</v>
      </c>
    </row>
    <row r="2268" spans="1:11" x14ac:dyDescent="0.25">
      <c r="H2268" t="s">
        <v>15</v>
      </c>
      <c r="I2268" s="4">
        <v>46000</v>
      </c>
    </row>
    <row r="2269" spans="1:11" x14ac:dyDescent="0.25">
      <c r="H2269" t="s">
        <v>685</v>
      </c>
      <c r="I2269" s="4">
        <v>40000</v>
      </c>
    </row>
    <row r="2270" spans="1:11" x14ac:dyDescent="0.25">
      <c r="H2270" t="s">
        <v>16</v>
      </c>
      <c r="I2270" s="4">
        <v>30000</v>
      </c>
    </row>
    <row r="2271" spans="1:11" x14ac:dyDescent="0.25">
      <c r="H2271" t="s">
        <v>1007</v>
      </c>
    </row>
    <row r="2273" spans="1:11" x14ac:dyDescent="0.25">
      <c r="H2273" t="s">
        <v>17</v>
      </c>
      <c r="I2273" s="4">
        <f>SUM(I2267:I2272)</f>
        <v>324000</v>
      </c>
    </row>
    <row r="2275" spans="1:11" x14ac:dyDescent="0.25">
      <c r="A2275" s="1" t="s">
        <v>0</v>
      </c>
      <c r="B2275" s="1" t="s">
        <v>1</v>
      </c>
      <c r="C2275" s="1" t="s">
        <v>2</v>
      </c>
      <c r="D2275" s="1" t="s">
        <v>3</v>
      </c>
      <c r="E2275" s="1" t="s">
        <v>4</v>
      </c>
      <c r="F2275" s="2" t="s">
        <v>5</v>
      </c>
      <c r="G2275" s="9" t="s">
        <v>40</v>
      </c>
      <c r="H2275" s="1" t="s">
        <v>6</v>
      </c>
      <c r="I2275" s="2" t="s">
        <v>7</v>
      </c>
      <c r="J2275" s="1" t="s">
        <v>8</v>
      </c>
      <c r="K2275" s="1" t="s">
        <v>9</v>
      </c>
    </row>
    <row r="2276" spans="1:11" x14ac:dyDescent="0.25">
      <c r="A2276" s="3">
        <v>45394</v>
      </c>
      <c r="B2276" t="s">
        <v>10</v>
      </c>
      <c r="D2276" t="s">
        <v>26</v>
      </c>
      <c r="G2276" s="10" t="s">
        <v>1008</v>
      </c>
      <c r="H2276" t="s">
        <v>37</v>
      </c>
      <c r="I2276" s="4">
        <v>390000</v>
      </c>
    </row>
    <row r="2277" spans="1:11" x14ac:dyDescent="0.25">
      <c r="H2277" t="s">
        <v>1009</v>
      </c>
      <c r="I2277" s="4">
        <v>140000</v>
      </c>
    </row>
    <row r="2278" spans="1:11" x14ac:dyDescent="0.25">
      <c r="H2278" t="s">
        <v>20</v>
      </c>
      <c r="I2278" s="4">
        <v>140000</v>
      </c>
    </row>
    <row r="2279" spans="1:11" x14ac:dyDescent="0.25">
      <c r="H2279" t="s">
        <v>1010</v>
      </c>
      <c r="I2279" s="4">
        <v>90000</v>
      </c>
    </row>
    <row r="2281" spans="1:11" x14ac:dyDescent="0.25">
      <c r="H2281" t="s">
        <v>17</v>
      </c>
      <c r="I2281" s="4">
        <f>SUM(I2276:I2280)</f>
        <v>760000</v>
      </c>
    </row>
    <row r="2283" spans="1:11" x14ac:dyDescent="0.25">
      <c r="A2283" s="1" t="s">
        <v>0</v>
      </c>
      <c r="B2283" s="1" t="s">
        <v>1</v>
      </c>
      <c r="C2283" s="1" t="s">
        <v>2</v>
      </c>
      <c r="D2283" s="1" t="s">
        <v>3</v>
      </c>
      <c r="E2283" s="1" t="s">
        <v>4</v>
      </c>
      <c r="F2283" s="2" t="s">
        <v>5</v>
      </c>
      <c r="G2283" s="9" t="s">
        <v>40</v>
      </c>
      <c r="H2283" s="1" t="s">
        <v>6</v>
      </c>
      <c r="I2283" s="2" t="s">
        <v>7</v>
      </c>
      <c r="J2283" s="1" t="s">
        <v>8</v>
      </c>
      <c r="K2283" s="1" t="s">
        <v>9</v>
      </c>
    </row>
    <row r="2284" spans="1:11" x14ac:dyDescent="0.25">
      <c r="A2284" s="3">
        <v>45394</v>
      </c>
      <c r="B2284" t="s">
        <v>1011</v>
      </c>
      <c r="C2284" t="s">
        <v>1012</v>
      </c>
      <c r="D2284" t="s">
        <v>19</v>
      </c>
      <c r="E2284">
        <v>2014</v>
      </c>
      <c r="F2284" s="4">
        <v>40000</v>
      </c>
      <c r="G2284" s="10" t="s">
        <v>1013</v>
      </c>
      <c r="H2284" t="s">
        <v>14</v>
      </c>
      <c r="I2284" s="4">
        <v>71300</v>
      </c>
    </row>
    <row r="2285" spans="1:11" x14ac:dyDescent="0.25">
      <c r="H2285" t="s">
        <v>1014</v>
      </c>
      <c r="I2285" s="4">
        <v>24700</v>
      </c>
    </row>
    <row r="2286" spans="1:11" x14ac:dyDescent="0.25">
      <c r="H2286" t="s">
        <v>1015</v>
      </c>
      <c r="I2286" s="4">
        <v>10000</v>
      </c>
    </row>
    <row r="2287" spans="1:11" x14ac:dyDescent="0.25">
      <c r="H2287" t="s">
        <v>15</v>
      </c>
      <c r="I2287" s="4">
        <v>20000</v>
      </c>
    </row>
    <row r="2288" spans="1:11" x14ac:dyDescent="0.25">
      <c r="H2288" t="s">
        <v>1016</v>
      </c>
      <c r="I2288" s="4">
        <v>88000</v>
      </c>
    </row>
    <row r="2290" spans="1:11" x14ac:dyDescent="0.25">
      <c r="H2290" t="s">
        <v>17</v>
      </c>
      <c r="I2290" s="4">
        <f>SUM(I2284:I2289)</f>
        <v>214000</v>
      </c>
    </row>
    <row r="2292" spans="1:11" x14ac:dyDescent="0.25">
      <c r="A2292" s="1" t="s">
        <v>0</v>
      </c>
      <c r="B2292" s="1" t="s">
        <v>1</v>
      </c>
      <c r="C2292" s="1" t="s">
        <v>2</v>
      </c>
      <c r="D2292" s="1" t="s">
        <v>3</v>
      </c>
      <c r="E2292" s="1" t="s">
        <v>4</v>
      </c>
      <c r="F2292" s="2" t="s">
        <v>5</v>
      </c>
      <c r="G2292" s="9" t="s">
        <v>40</v>
      </c>
      <c r="H2292" s="1" t="s">
        <v>6</v>
      </c>
      <c r="I2292" s="2" t="s">
        <v>7</v>
      </c>
      <c r="J2292" s="1" t="s">
        <v>8</v>
      </c>
      <c r="K2292" s="1" t="s">
        <v>9</v>
      </c>
    </row>
    <row r="2293" spans="1:11" x14ac:dyDescent="0.25">
      <c r="A2293" s="3">
        <v>45394</v>
      </c>
      <c r="B2293" t="s">
        <v>1017</v>
      </c>
      <c r="C2293" t="s">
        <v>1018</v>
      </c>
      <c r="D2293" t="s">
        <v>31</v>
      </c>
      <c r="G2293" s="10" t="s">
        <v>1019</v>
      </c>
      <c r="H2293" t="s">
        <v>623</v>
      </c>
      <c r="I2293" s="4">
        <v>200000</v>
      </c>
    </row>
    <row r="2294" spans="1:11" x14ac:dyDescent="0.25">
      <c r="H2294" t="s">
        <v>254</v>
      </c>
      <c r="I2294" s="4">
        <v>240000</v>
      </c>
    </row>
    <row r="2295" spans="1:11" x14ac:dyDescent="0.25">
      <c r="H2295" t="s">
        <v>259</v>
      </c>
      <c r="I2295" s="4">
        <v>25000</v>
      </c>
    </row>
    <row r="2296" spans="1:11" x14ac:dyDescent="0.25">
      <c r="H2296" t="s">
        <v>1020</v>
      </c>
      <c r="I2296" s="4">
        <v>25000</v>
      </c>
    </row>
    <row r="2297" spans="1:11" x14ac:dyDescent="0.25">
      <c r="H2297" t="s">
        <v>1021</v>
      </c>
      <c r="I2297" s="4">
        <v>40000</v>
      </c>
    </row>
    <row r="2298" spans="1:11" x14ac:dyDescent="0.25">
      <c r="H2298" t="s">
        <v>1022</v>
      </c>
      <c r="I2298" s="4">
        <v>70000</v>
      </c>
    </row>
    <row r="2299" spans="1:11" x14ac:dyDescent="0.25">
      <c r="H2299" t="s">
        <v>154</v>
      </c>
      <c r="I2299" s="4">
        <v>15000</v>
      </c>
    </row>
    <row r="2300" spans="1:11" x14ac:dyDescent="0.25">
      <c r="H2300" t="s">
        <v>33</v>
      </c>
      <c r="I2300" s="4">
        <v>20000</v>
      </c>
    </row>
    <row r="2301" spans="1:11" x14ac:dyDescent="0.25">
      <c r="H2301" t="s">
        <v>34</v>
      </c>
      <c r="I2301" s="4">
        <v>40000</v>
      </c>
    </row>
    <row r="2302" spans="1:11" x14ac:dyDescent="0.25">
      <c r="H2302" t="s">
        <v>155</v>
      </c>
      <c r="I2302" s="4">
        <v>35000</v>
      </c>
    </row>
    <row r="2303" spans="1:11" x14ac:dyDescent="0.25">
      <c r="H2303" t="s">
        <v>68</v>
      </c>
      <c r="I2303" s="4">
        <v>40000</v>
      </c>
    </row>
    <row r="2304" spans="1:11" x14ac:dyDescent="0.25">
      <c r="H2304" t="s">
        <v>989</v>
      </c>
      <c r="I2304" s="4">
        <v>30000</v>
      </c>
    </row>
    <row r="2305" spans="1:11" x14ac:dyDescent="0.25">
      <c r="H2305" t="s">
        <v>1023</v>
      </c>
      <c r="I2305" s="4">
        <v>25000</v>
      </c>
    </row>
    <row r="2306" spans="1:11" x14ac:dyDescent="0.25">
      <c r="H2306" t="s">
        <v>1024</v>
      </c>
      <c r="I2306" s="4">
        <v>30000</v>
      </c>
    </row>
    <row r="2307" spans="1:11" x14ac:dyDescent="0.25">
      <c r="H2307" t="s">
        <v>1025</v>
      </c>
      <c r="I2307" s="4">
        <v>15000</v>
      </c>
    </row>
    <row r="2308" spans="1:11" x14ac:dyDescent="0.25">
      <c r="H2308" t="s">
        <v>1026</v>
      </c>
      <c r="I2308" s="4">
        <v>140000</v>
      </c>
    </row>
    <row r="2310" spans="1:11" x14ac:dyDescent="0.25">
      <c r="H2310" t="s">
        <v>17</v>
      </c>
      <c r="I2310" s="4">
        <f>SUM(I2293:I2309)</f>
        <v>990000</v>
      </c>
    </row>
    <row r="2312" spans="1:11" x14ac:dyDescent="0.25">
      <c r="A2312" s="1" t="s">
        <v>0</v>
      </c>
      <c r="B2312" s="1" t="s">
        <v>1</v>
      </c>
      <c r="C2312" s="1" t="s">
        <v>2</v>
      </c>
      <c r="D2312" s="1" t="s">
        <v>3</v>
      </c>
      <c r="E2312" s="1" t="s">
        <v>4</v>
      </c>
      <c r="F2312" s="2" t="s">
        <v>5</v>
      </c>
      <c r="G2312" s="9" t="s">
        <v>40</v>
      </c>
      <c r="H2312" s="1" t="s">
        <v>6</v>
      </c>
      <c r="I2312" s="2" t="s">
        <v>7</v>
      </c>
      <c r="J2312" s="1" t="s">
        <v>8</v>
      </c>
      <c r="K2312" s="1" t="s">
        <v>9</v>
      </c>
    </row>
    <row r="2313" spans="1:11" x14ac:dyDescent="0.25">
      <c r="A2313" s="3">
        <v>45394</v>
      </c>
      <c r="B2313" t="s">
        <v>214</v>
      </c>
      <c r="C2313" t="s">
        <v>215</v>
      </c>
      <c r="D2313" t="s">
        <v>19</v>
      </c>
      <c r="F2313" s="4">
        <v>41487</v>
      </c>
      <c r="G2313" s="10" t="s">
        <v>216</v>
      </c>
      <c r="H2313" t="s">
        <v>14</v>
      </c>
      <c r="I2313" s="4">
        <v>48000</v>
      </c>
    </row>
    <row r="2314" spans="1:11" x14ac:dyDescent="0.25">
      <c r="H2314" t="s">
        <v>15</v>
      </c>
      <c r="I2314" s="4">
        <v>12000</v>
      </c>
    </row>
    <row r="2315" spans="1:11" x14ac:dyDescent="0.25">
      <c r="H2315" t="s">
        <v>1027</v>
      </c>
      <c r="I2315" s="4">
        <v>2500</v>
      </c>
    </row>
    <row r="2316" spans="1:11" x14ac:dyDescent="0.25">
      <c r="H2316" t="s">
        <v>1028</v>
      </c>
      <c r="I2316" s="4">
        <v>2500</v>
      </c>
    </row>
    <row r="2318" spans="1:11" x14ac:dyDescent="0.25">
      <c r="H2318" t="s">
        <v>17</v>
      </c>
      <c r="I2318" s="4">
        <f>SUM(I2313:I2317)</f>
        <v>65000</v>
      </c>
    </row>
    <row r="2320" spans="1:11" x14ac:dyDescent="0.25">
      <c r="A2320" s="1" t="s">
        <v>0</v>
      </c>
      <c r="B2320" s="1" t="s">
        <v>1</v>
      </c>
      <c r="C2320" s="1" t="s">
        <v>2</v>
      </c>
      <c r="D2320" s="1" t="s">
        <v>3</v>
      </c>
      <c r="E2320" s="1" t="s">
        <v>4</v>
      </c>
      <c r="F2320" s="2" t="s">
        <v>5</v>
      </c>
      <c r="G2320" s="9" t="s">
        <v>40</v>
      </c>
      <c r="H2320" s="1" t="s">
        <v>6</v>
      </c>
      <c r="I2320" s="2" t="s">
        <v>7</v>
      </c>
      <c r="J2320" s="1" t="s">
        <v>8</v>
      </c>
      <c r="K2320" s="1" t="s">
        <v>9</v>
      </c>
    </row>
    <row r="2321" spans="1:11" x14ac:dyDescent="0.25">
      <c r="A2321" s="3">
        <v>45394</v>
      </c>
      <c r="B2321" t="s">
        <v>10</v>
      </c>
      <c r="C2321" t="s">
        <v>1029</v>
      </c>
      <c r="D2321" t="s">
        <v>1030</v>
      </c>
      <c r="F2321" s="4">
        <v>86912</v>
      </c>
      <c r="G2321" s="10" t="s">
        <v>1031</v>
      </c>
      <c r="H2321" t="s">
        <v>14</v>
      </c>
      <c r="I2321" s="4">
        <v>160000</v>
      </c>
    </row>
    <row r="2322" spans="1:11" x14ac:dyDescent="0.25">
      <c r="H2322" t="s">
        <v>15</v>
      </c>
      <c r="I2322" s="4">
        <v>46000</v>
      </c>
    </row>
    <row r="2323" spans="1:11" x14ac:dyDescent="0.25">
      <c r="H2323" t="s">
        <v>59</v>
      </c>
      <c r="I2323" s="4">
        <v>390000</v>
      </c>
    </row>
    <row r="2324" spans="1:11" x14ac:dyDescent="0.25">
      <c r="H2324" t="s">
        <v>1032</v>
      </c>
      <c r="I2324" s="4">
        <v>850000</v>
      </c>
    </row>
    <row r="2325" spans="1:11" x14ac:dyDescent="0.25">
      <c r="H2325" t="s">
        <v>1033</v>
      </c>
      <c r="I2325" s="4">
        <v>100000</v>
      </c>
    </row>
    <row r="2326" spans="1:11" x14ac:dyDescent="0.25">
      <c r="H2326" t="s">
        <v>33</v>
      </c>
      <c r="I2326" s="4">
        <v>20000</v>
      </c>
    </row>
    <row r="2327" spans="1:11" x14ac:dyDescent="0.25">
      <c r="H2327" t="s">
        <v>13</v>
      </c>
      <c r="I2327" s="4">
        <v>150000</v>
      </c>
    </row>
    <row r="2328" spans="1:11" x14ac:dyDescent="0.25">
      <c r="H2328" t="s">
        <v>1034</v>
      </c>
      <c r="I2328" s="4">
        <v>120000</v>
      </c>
    </row>
    <row r="2329" spans="1:11" x14ac:dyDescent="0.25">
      <c r="H2329" t="s">
        <v>1035</v>
      </c>
      <c r="I2329" s="4">
        <v>90000</v>
      </c>
    </row>
    <row r="2330" spans="1:11" x14ac:dyDescent="0.25">
      <c r="H2330" t="s">
        <v>92</v>
      </c>
      <c r="I2330" s="4">
        <v>60000</v>
      </c>
    </row>
    <row r="2331" spans="1:11" x14ac:dyDescent="0.25">
      <c r="H2331" t="s">
        <v>525</v>
      </c>
      <c r="I2331" s="4">
        <v>35000</v>
      </c>
    </row>
    <row r="2332" spans="1:11" x14ac:dyDescent="0.25">
      <c r="H2332" t="s">
        <v>48</v>
      </c>
      <c r="I2332" s="4">
        <v>110000</v>
      </c>
    </row>
    <row r="2334" spans="1:11" x14ac:dyDescent="0.25">
      <c r="H2334" t="s">
        <v>17</v>
      </c>
      <c r="I2334" s="4">
        <f>SUM(I2321:I2333)</f>
        <v>2131000</v>
      </c>
    </row>
    <row r="2336" spans="1:11" x14ac:dyDescent="0.25">
      <c r="A2336" s="1" t="s">
        <v>0</v>
      </c>
      <c r="B2336" s="1" t="s">
        <v>1</v>
      </c>
      <c r="C2336" s="1" t="s">
        <v>2</v>
      </c>
      <c r="D2336" s="1" t="s">
        <v>3</v>
      </c>
      <c r="E2336" s="1" t="s">
        <v>4</v>
      </c>
      <c r="F2336" s="2" t="s">
        <v>5</v>
      </c>
      <c r="G2336" s="9" t="s">
        <v>40</v>
      </c>
      <c r="H2336" s="1" t="s">
        <v>6</v>
      </c>
      <c r="I2336" s="2" t="s">
        <v>7</v>
      </c>
      <c r="J2336" s="1" t="s">
        <v>8</v>
      </c>
      <c r="K2336" s="1" t="s">
        <v>9</v>
      </c>
    </row>
    <row r="2337" spans="1:11" x14ac:dyDescent="0.25">
      <c r="A2337" s="3">
        <v>45395</v>
      </c>
      <c r="B2337" t="s">
        <v>1036</v>
      </c>
      <c r="C2337" t="s">
        <v>1037</v>
      </c>
      <c r="D2337" t="s">
        <v>82</v>
      </c>
      <c r="F2337" s="4">
        <v>68997</v>
      </c>
      <c r="G2337" s="10" t="s">
        <v>1038</v>
      </c>
      <c r="H2337" t="s">
        <v>1039</v>
      </c>
      <c r="I2337" s="4">
        <v>44800</v>
      </c>
    </row>
    <row r="2338" spans="1:11" x14ac:dyDescent="0.25">
      <c r="H2338" t="s">
        <v>48</v>
      </c>
      <c r="I2338" s="4">
        <v>220000</v>
      </c>
    </row>
    <row r="2339" spans="1:11" x14ac:dyDescent="0.25">
      <c r="H2339" t="s">
        <v>16</v>
      </c>
      <c r="I2339" s="4">
        <v>150000</v>
      </c>
    </row>
    <row r="2340" spans="1:11" x14ac:dyDescent="0.25">
      <c r="H2340" t="s">
        <v>33</v>
      </c>
      <c r="I2340" s="4">
        <v>20000</v>
      </c>
    </row>
    <row r="2342" spans="1:11" x14ac:dyDescent="0.25">
      <c r="H2342" t="s">
        <v>17</v>
      </c>
      <c r="I2342" s="4">
        <f>SUM(I2337:I2341)</f>
        <v>434800</v>
      </c>
    </row>
    <row r="2344" spans="1:11" x14ac:dyDescent="0.25">
      <c r="A2344" s="1" t="s">
        <v>0</v>
      </c>
      <c r="B2344" s="1" t="s">
        <v>1</v>
      </c>
      <c r="C2344" s="1" t="s">
        <v>2</v>
      </c>
      <c r="D2344" s="1" t="s">
        <v>3</v>
      </c>
      <c r="E2344" s="1" t="s">
        <v>4</v>
      </c>
      <c r="F2344" s="2" t="s">
        <v>5</v>
      </c>
      <c r="G2344" s="9" t="s">
        <v>40</v>
      </c>
      <c r="H2344" s="1" t="s">
        <v>6</v>
      </c>
      <c r="I2344" s="2" t="s">
        <v>7</v>
      </c>
      <c r="J2344" s="1" t="s">
        <v>8</v>
      </c>
      <c r="K2344" s="1" t="s">
        <v>9</v>
      </c>
    </row>
    <row r="2345" spans="1:11" x14ac:dyDescent="0.25">
      <c r="A2345" s="3">
        <v>45395</v>
      </c>
      <c r="B2345" t="s">
        <v>1051</v>
      </c>
      <c r="C2345" t="s">
        <v>1052</v>
      </c>
      <c r="D2345" t="s">
        <v>26</v>
      </c>
      <c r="E2345">
        <v>2006</v>
      </c>
      <c r="F2345" s="4">
        <v>54000</v>
      </c>
      <c r="G2345" s="10" t="s">
        <v>1053</v>
      </c>
      <c r="H2345" t="s">
        <v>1054</v>
      </c>
      <c r="I2345" s="4">
        <v>120000</v>
      </c>
    </row>
    <row r="2346" spans="1:11" x14ac:dyDescent="0.25">
      <c r="H2346" t="s">
        <v>689</v>
      </c>
      <c r="I2346" s="4">
        <v>120000</v>
      </c>
    </row>
    <row r="2347" spans="1:11" x14ac:dyDescent="0.25">
      <c r="H2347" t="s">
        <v>1055</v>
      </c>
      <c r="I2347" s="4">
        <v>150000</v>
      </c>
    </row>
    <row r="2348" spans="1:11" x14ac:dyDescent="0.25">
      <c r="H2348" t="s">
        <v>1056</v>
      </c>
      <c r="I2348" s="4">
        <v>189000</v>
      </c>
    </row>
    <row r="2349" spans="1:11" x14ac:dyDescent="0.25">
      <c r="H2349" t="s">
        <v>15</v>
      </c>
      <c r="I2349" s="4">
        <v>46000</v>
      </c>
    </row>
    <row r="2350" spans="1:11" x14ac:dyDescent="0.25">
      <c r="H2350" t="s">
        <v>1057</v>
      </c>
      <c r="I2350" s="4">
        <v>95000</v>
      </c>
    </row>
    <row r="2351" spans="1:11" x14ac:dyDescent="0.25">
      <c r="H2351" t="s">
        <v>33</v>
      </c>
      <c r="I2351" s="4">
        <v>20000</v>
      </c>
    </row>
    <row r="2352" spans="1:11" x14ac:dyDescent="0.25">
      <c r="H2352" t="s">
        <v>59</v>
      </c>
      <c r="I2352" s="4">
        <v>280000</v>
      </c>
    </row>
    <row r="2353" spans="1:11" x14ac:dyDescent="0.25">
      <c r="H2353" t="s">
        <v>1058</v>
      </c>
      <c r="I2353" s="4">
        <v>120000</v>
      </c>
    </row>
    <row r="2354" spans="1:11" x14ac:dyDescent="0.25">
      <c r="H2354" t="s">
        <v>232</v>
      </c>
      <c r="I2354" s="4">
        <v>60000</v>
      </c>
    </row>
    <row r="2355" spans="1:11" x14ac:dyDescent="0.25">
      <c r="H2355" t="s">
        <v>1059</v>
      </c>
      <c r="I2355" s="4">
        <v>50000</v>
      </c>
    </row>
    <row r="2357" spans="1:11" x14ac:dyDescent="0.25">
      <c r="H2357" t="s">
        <v>17</v>
      </c>
      <c r="I2357" s="4">
        <f>SUM(I2345:I2356)</f>
        <v>1250000</v>
      </c>
    </row>
    <row r="2359" spans="1:11" x14ac:dyDescent="0.25">
      <c r="A2359" s="1" t="s">
        <v>0</v>
      </c>
      <c r="B2359" s="1" t="s">
        <v>1</v>
      </c>
      <c r="C2359" s="1" t="s">
        <v>2</v>
      </c>
      <c r="D2359" s="1" t="s">
        <v>3</v>
      </c>
      <c r="E2359" s="1" t="s">
        <v>4</v>
      </c>
      <c r="F2359" s="2" t="s">
        <v>5</v>
      </c>
      <c r="G2359" s="9" t="s">
        <v>40</v>
      </c>
      <c r="H2359" s="1" t="s">
        <v>6</v>
      </c>
      <c r="I2359" s="2" t="s">
        <v>7</v>
      </c>
      <c r="J2359" s="1" t="s">
        <v>8</v>
      </c>
      <c r="K2359" s="1" t="s">
        <v>9</v>
      </c>
    </row>
    <row r="2360" spans="1:11" x14ac:dyDescent="0.25">
      <c r="A2360" s="3">
        <v>45395</v>
      </c>
      <c r="B2360" t="s">
        <v>29</v>
      </c>
      <c r="C2360" t="s">
        <v>1090</v>
      </c>
      <c r="D2360" t="s">
        <v>19</v>
      </c>
      <c r="F2360" s="4">
        <v>118799</v>
      </c>
      <c r="G2360" s="10" t="s">
        <v>1091</v>
      </c>
      <c r="H2360" t="s">
        <v>451</v>
      </c>
      <c r="I2360" s="4">
        <v>400000</v>
      </c>
    </row>
    <row r="2361" spans="1:11" x14ac:dyDescent="0.25">
      <c r="H2361" t="s">
        <v>1092</v>
      </c>
      <c r="I2361" s="4">
        <v>52000</v>
      </c>
    </row>
    <row r="2362" spans="1:11" x14ac:dyDescent="0.25">
      <c r="H2362" t="s">
        <v>1093</v>
      </c>
      <c r="I2362" s="4">
        <v>70000</v>
      </c>
    </row>
    <row r="2363" spans="1:11" x14ac:dyDescent="0.25">
      <c r="H2363" t="s">
        <v>33</v>
      </c>
      <c r="I2363" s="4">
        <v>20000</v>
      </c>
    </row>
    <row r="2364" spans="1:11" x14ac:dyDescent="0.25">
      <c r="H2364" t="s">
        <v>68</v>
      </c>
      <c r="I2364" s="4">
        <v>90000</v>
      </c>
    </row>
    <row r="2365" spans="1:11" x14ac:dyDescent="0.25">
      <c r="H2365" t="s">
        <v>16</v>
      </c>
      <c r="I2365" s="4">
        <v>150000</v>
      </c>
    </row>
    <row r="2366" spans="1:11" x14ac:dyDescent="0.25">
      <c r="H2366" t="s">
        <v>1094</v>
      </c>
      <c r="I2366" s="4">
        <v>115000</v>
      </c>
    </row>
    <row r="2367" spans="1:11" x14ac:dyDescent="0.25">
      <c r="H2367" t="s">
        <v>880</v>
      </c>
      <c r="I2367" s="4">
        <v>60000</v>
      </c>
    </row>
    <row r="2368" spans="1:11" x14ac:dyDescent="0.25">
      <c r="H2368" t="s">
        <v>102</v>
      </c>
      <c r="I2368" s="4">
        <v>35000</v>
      </c>
    </row>
    <row r="2369" spans="1:11" x14ac:dyDescent="0.25">
      <c r="H2369" t="s">
        <v>339</v>
      </c>
      <c r="I2369" s="4">
        <v>620000</v>
      </c>
    </row>
    <row r="2370" spans="1:11" x14ac:dyDescent="0.25">
      <c r="H2370" t="s">
        <v>1095</v>
      </c>
      <c r="I2370" s="4">
        <v>150000</v>
      </c>
    </row>
    <row r="2372" spans="1:11" x14ac:dyDescent="0.25">
      <c r="H2372" t="s">
        <v>17</v>
      </c>
      <c r="I2372" s="4">
        <f>SUM(I2360:I2371)</f>
        <v>1762000</v>
      </c>
    </row>
    <row r="2374" spans="1:11" x14ac:dyDescent="0.25">
      <c r="A2374" s="1" t="s">
        <v>0</v>
      </c>
      <c r="B2374" s="1" t="s">
        <v>1</v>
      </c>
      <c r="C2374" s="1" t="s">
        <v>2</v>
      </c>
      <c r="D2374" s="1" t="s">
        <v>3</v>
      </c>
      <c r="E2374" s="1" t="s">
        <v>4</v>
      </c>
      <c r="F2374" s="2" t="s">
        <v>5</v>
      </c>
      <c r="G2374" s="9" t="s">
        <v>40</v>
      </c>
      <c r="H2374" s="1" t="s">
        <v>6</v>
      </c>
      <c r="I2374" s="2" t="s">
        <v>7</v>
      </c>
      <c r="J2374" s="1" t="s">
        <v>8</v>
      </c>
      <c r="K2374" s="1" t="s">
        <v>9</v>
      </c>
    </row>
    <row r="2375" spans="1:11" x14ac:dyDescent="0.25">
      <c r="A2375" s="3">
        <v>45397</v>
      </c>
      <c r="B2375" t="s">
        <v>1040</v>
      </c>
      <c r="C2375" t="s">
        <v>1041</v>
      </c>
      <c r="D2375" t="s">
        <v>19</v>
      </c>
      <c r="F2375" s="4">
        <v>22380</v>
      </c>
      <c r="H2375" t="s">
        <v>106</v>
      </c>
      <c r="I2375" s="4">
        <v>150000</v>
      </c>
    </row>
    <row r="2376" spans="1:11" x14ac:dyDescent="0.25">
      <c r="H2376" t="s">
        <v>20</v>
      </c>
      <c r="I2376" s="4">
        <v>140000</v>
      </c>
    </row>
    <row r="2378" spans="1:11" x14ac:dyDescent="0.25">
      <c r="H2378" t="s">
        <v>17</v>
      </c>
      <c r="I2378" s="4">
        <f>SUM(I2375:I2377)</f>
        <v>290000</v>
      </c>
    </row>
    <row r="2380" spans="1:11" x14ac:dyDescent="0.25">
      <c r="A2380" s="1" t="s">
        <v>0</v>
      </c>
      <c r="B2380" s="1" t="s">
        <v>1</v>
      </c>
      <c r="C2380" s="1" t="s">
        <v>2</v>
      </c>
      <c r="D2380" s="1" t="s">
        <v>3</v>
      </c>
      <c r="E2380" s="1" t="s">
        <v>4</v>
      </c>
      <c r="F2380" s="2" t="s">
        <v>5</v>
      </c>
      <c r="G2380" s="9" t="s">
        <v>40</v>
      </c>
      <c r="H2380" s="1" t="s">
        <v>6</v>
      </c>
      <c r="I2380" s="2" t="s">
        <v>7</v>
      </c>
      <c r="J2380" s="1" t="s">
        <v>8</v>
      </c>
      <c r="K2380" s="1" t="s">
        <v>9</v>
      </c>
    </row>
    <row r="2381" spans="1:11" x14ac:dyDescent="0.25">
      <c r="A2381" s="3">
        <v>45399</v>
      </c>
      <c r="B2381" t="s">
        <v>1048</v>
      </c>
      <c r="C2381" t="s">
        <v>1049</v>
      </c>
      <c r="D2381" t="s">
        <v>87</v>
      </c>
      <c r="G2381" s="10" t="s">
        <v>566</v>
      </c>
      <c r="H2381" t="s">
        <v>254</v>
      </c>
      <c r="I2381" s="4">
        <v>340000</v>
      </c>
    </row>
    <row r="2382" spans="1:11" x14ac:dyDescent="0.25">
      <c r="H2382" t="s">
        <v>16</v>
      </c>
      <c r="I2382" s="4">
        <v>180000</v>
      </c>
    </row>
    <row r="2383" spans="1:11" x14ac:dyDescent="0.25">
      <c r="H2383" t="s">
        <v>1050</v>
      </c>
      <c r="I2383" s="4">
        <v>70000</v>
      </c>
    </row>
    <row r="2384" spans="1:11" x14ac:dyDescent="0.25">
      <c r="H2384" t="s">
        <v>35</v>
      </c>
      <c r="I2384" s="4">
        <v>20000</v>
      </c>
    </row>
    <row r="2385" spans="1:11" x14ac:dyDescent="0.25">
      <c r="H2385" t="s">
        <v>34</v>
      </c>
      <c r="I2385" s="4">
        <v>48000</v>
      </c>
    </row>
    <row r="2386" spans="1:11" x14ac:dyDescent="0.25">
      <c r="H2386" t="s">
        <v>154</v>
      </c>
      <c r="I2386" s="4">
        <v>24000</v>
      </c>
    </row>
    <row r="2388" spans="1:11" x14ac:dyDescent="0.25">
      <c r="H2388" t="s">
        <v>17</v>
      </c>
      <c r="I2388" s="4">
        <f>SUM(I2381:I2387)</f>
        <v>682000</v>
      </c>
    </row>
    <row r="2390" spans="1:11" x14ac:dyDescent="0.25">
      <c r="A2390" s="1" t="s">
        <v>0</v>
      </c>
      <c r="B2390" s="1" t="s">
        <v>1</v>
      </c>
      <c r="C2390" s="1" t="s">
        <v>2</v>
      </c>
      <c r="D2390" s="1" t="s">
        <v>3</v>
      </c>
      <c r="E2390" s="1" t="s">
        <v>4</v>
      </c>
      <c r="F2390" s="2" t="s">
        <v>5</v>
      </c>
      <c r="G2390" s="9" t="s">
        <v>40</v>
      </c>
      <c r="H2390" s="1" t="s">
        <v>6</v>
      </c>
      <c r="I2390" s="2" t="s">
        <v>7</v>
      </c>
      <c r="J2390" s="1" t="s">
        <v>8</v>
      </c>
      <c r="K2390" s="1" t="s">
        <v>9</v>
      </c>
    </row>
    <row r="2391" spans="1:11" x14ac:dyDescent="0.25">
      <c r="A2391" s="3">
        <v>45399</v>
      </c>
      <c r="B2391" t="s">
        <v>10</v>
      </c>
      <c r="C2391" t="s">
        <v>631</v>
      </c>
      <c r="D2391" t="s">
        <v>762</v>
      </c>
      <c r="G2391" s="10" t="s">
        <v>632</v>
      </c>
      <c r="H2391" t="s">
        <v>1210</v>
      </c>
    </row>
    <row r="2392" spans="1:11" x14ac:dyDescent="0.25">
      <c r="H2392" t="s">
        <v>652</v>
      </c>
    </row>
    <row r="2393" spans="1:11" x14ac:dyDescent="0.25">
      <c r="H2393" t="s">
        <v>1211</v>
      </c>
    </row>
    <row r="2394" spans="1:11" x14ac:dyDescent="0.25">
      <c r="H2394" t="s">
        <v>1212</v>
      </c>
    </row>
    <row r="2395" spans="1:11" x14ac:dyDescent="0.25">
      <c r="H2395" t="s">
        <v>1130</v>
      </c>
    </row>
    <row r="2396" spans="1:11" x14ac:dyDescent="0.25">
      <c r="H2396" t="s">
        <v>1213</v>
      </c>
    </row>
    <row r="2397" spans="1:11" x14ac:dyDescent="0.25">
      <c r="H2397" t="s">
        <v>1178</v>
      </c>
    </row>
    <row r="2398" spans="1:11" x14ac:dyDescent="0.25">
      <c r="H2398" t="s">
        <v>1214</v>
      </c>
    </row>
    <row r="2399" spans="1:11" x14ac:dyDescent="0.25">
      <c r="H2399" t="s">
        <v>580</v>
      </c>
    </row>
    <row r="2401" spans="1:11" x14ac:dyDescent="0.25">
      <c r="H2401" t="s">
        <v>17</v>
      </c>
    </row>
    <row r="2403" spans="1:11" x14ac:dyDescent="0.25">
      <c r="A2403" s="1" t="s">
        <v>0</v>
      </c>
      <c r="B2403" s="1" t="s">
        <v>1</v>
      </c>
      <c r="C2403" s="1" t="s">
        <v>2</v>
      </c>
      <c r="D2403" s="1" t="s">
        <v>3</v>
      </c>
      <c r="E2403" s="1" t="s">
        <v>4</v>
      </c>
      <c r="F2403" s="2" t="s">
        <v>5</v>
      </c>
      <c r="G2403" s="9" t="s">
        <v>40</v>
      </c>
      <c r="H2403" s="1" t="s">
        <v>6</v>
      </c>
      <c r="I2403" s="2" t="s">
        <v>7</v>
      </c>
      <c r="J2403" s="1" t="s">
        <v>8</v>
      </c>
      <c r="K2403" s="1" t="s">
        <v>9</v>
      </c>
    </row>
    <row r="2404" spans="1:11" x14ac:dyDescent="0.25">
      <c r="A2404" s="3">
        <v>45400</v>
      </c>
      <c r="B2404" t="s">
        <v>10</v>
      </c>
      <c r="C2404" t="s">
        <v>1044</v>
      </c>
      <c r="D2404" t="s">
        <v>26</v>
      </c>
      <c r="F2404" s="4">
        <v>86037</v>
      </c>
      <c r="G2404" s="10" t="s">
        <v>1045</v>
      </c>
      <c r="H2404" t="s">
        <v>1046</v>
      </c>
      <c r="I2404" s="4">
        <v>150000</v>
      </c>
    </row>
    <row r="2405" spans="1:11" x14ac:dyDescent="0.25">
      <c r="H2405" t="s">
        <v>1047</v>
      </c>
      <c r="I2405" s="4">
        <v>1221000</v>
      </c>
    </row>
    <row r="2407" spans="1:11" x14ac:dyDescent="0.25">
      <c r="H2407" t="s">
        <v>17</v>
      </c>
      <c r="I2407" s="4">
        <f>SUM(I2404:I2406)</f>
        <v>1371000</v>
      </c>
    </row>
    <row r="2409" spans="1:11" x14ac:dyDescent="0.25">
      <c r="A2409" s="1" t="s">
        <v>0</v>
      </c>
      <c r="B2409" s="1" t="s">
        <v>1</v>
      </c>
      <c r="C2409" s="1" t="s">
        <v>2</v>
      </c>
      <c r="D2409" s="1" t="s">
        <v>3</v>
      </c>
      <c r="E2409" s="1" t="s">
        <v>4</v>
      </c>
      <c r="F2409" s="2" t="s">
        <v>5</v>
      </c>
      <c r="G2409" s="9" t="s">
        <v>40</v>
      </c>
      <c r="H2409" s="1" t="s">
        <v>6</v>
      </c>
      <c r="I2409" s="2" t="s">
        <v>7</v>
      </c>
      <c r="J2409" s="1" t="s">
        <v>8</v>
      </c>
      <c r="K2409" s="1" t="s">
        <v>9</v>
      </c>
    </row>
    <row r="2410" spans="1:11" x14ac:dyDescent="0.25">
      <c r="A2410" s="3">
        <v>45401</v>
      </c>
      <c r="B2410" t="s">
        <v>29</v>
      </c>
      <c r="C2410" t="s">
        <v>263</v>
      </c>
      <c r="D2410" t="s">
        <v>82</v>
      </c>
      <c r="F2410" s="4">
        <v>111579</v>
      </c>
      <c r="G2410" s="10" t="s">
        <v>265</v>
      </c>
      <c r="H2410" t="s">
        <v>14</v>
      </c>
    </row>
    <row r="2411" spans="1:11" x14ac:dyDescent="0.25">
      <c r="H2411" t="s">
        <v>1042</v>
      </c>
    </row>
    <row r="2412" spans="1:11" x14ac:dyDescent="0.25">
      <c r="H2412" t="s">
        <v>15</v>
      </c>
    </row>
    <row r="2413" spans="1:11" x14ac:dyDescent="0.25">
      <c r="H2413" t="s">
        <v>1043</v>
      </c>
    </row>
    <row r="2415" spans="1:11" x14ac:dyDescent="0.25">
      <c r="H2415" t="s">
        <v>17</v>
      </c>
    </row>
    <row r="2417" spans="1:11" x14ac:dyDescent="0.25">
      <c r="A2417" s="1" t="s">
        <v>0</v>
      </c>
      <c r="B2417" s="1" t="s">
        <v>1</v>
      </c>
      <c r="C2417" s="1" t="s">
        <v>2</v>
      </c>
      <c r="D2417" s="1" t="s">
        <v>3</v>
      </c>
      <c r="E2417" s="1" t="s">
        <v>4</v>
      </c>
      <c r="F2417" s="2" t="s">
        <v>5</v>
      </c>
      <c r="G2417" s="9" t="s">
        <v>40</v>
      </c>
      <c r="H2417" s="1" t="s">
        <v>6</v>
      </c>
      <c r="I2417" s="2" t="s">
        <v>7</v>
      </c>
      <c r="J2417" s="1" t="s">
        <v>8</v>
      </c>
      <c r="K2417" s="1" t="s">
        <v>9</v>
      </c>
    </row>
    <row r="2418" spans="1:11" x14ac:dyDescent="0.25">
      <c r="A2418" s="3">
        <v>45401</v>
      </c>
      <c r="B2418" t="s">
        <v>153</v>
      </c>
      <c r="C2418" t="s">
        <v>197</v>
      </c>
      <c r="D2418" t="s">
        <v>82</v>
      </c>
      <c r="E2418">
        <v>2015</v>
      </c>
      <c r="F2418" s="4">
        <v>58590</v>
      </c>
      <c r="G2418" s="10" t="s">
        <v>198</v>
      </c>
      <c r="H2418" t="s">
        <v>59</v>
      </c>
    </row>
    <row r="2419" spans="1:11" x14ac:dyDescent="0.25">
      <c r="H2419" t="s">
        <v>50</v>
      </c>
    </row>
    <row r="2421" spans="1:11" x14ac:dyDescent="0.25">
      <c r="H2421" t="s">
        <v>17</v>
      </c>
    </row>
    <row r="2423" spans="1:11" x14ac:dyDescent="0.25">
      <c r="A2423" s="1" t="s">
        <v>0</v>
      </c>
      <c r="B2423" s="1" t="s">
        <v>1</v>
      </c>
      <c r="C2423" s="1" t="s">
        <v>2</v>
      </c>
      <c r="D2423" s="1" t="s">
        <v>3</v>
      </c>
      <c r="E2423" s="1" t="s">
        <v>4</v>
      </c>
      <c r="F2423" s="2" t="s">
        <v>5</v>
      </c>
      <c r="G2423" s="9" t="s">
        <v>40</v>
      </c>
      <c r="H2423" s="1" t="s">
        <v>6</v>
      </c>
      <c r="I2423" s="2" t="s">
        <v>7</v>
      </c>
      <c r="J2423" s="1" t="s">
        <v>8</v>
      </c>
      <c r="K2423" s="1" t="s">
        <v>9</v>
      </c>
    </row>
    <row r="2424" spans="1:11" x14ac:dyDescent="0.25">
      <c r="A2424" s="3">
        <v>45402</v>
      </c>
      <c r="B2424" t="s">
        <v>29</v>
      </c>
      <c r="C2424" t="s">
        <v>1096</v>
      </c>
      <c r="D2424" t="s">
        <v>544</v>
      </c>
      <c r="F2424" s="4">
        <v>149454</v>
      </c>
      <c r="G2424" s="10" t="s">
        <v>41</v>
      </c>
      <c r="H2424" t="s">
        <v>14</v>
      </c>
      <c r="I2424" s="4">
        <v>120000</v>
      </c>
    </row>
    <row r="2425" spans="1:11" x14ac:dyDescent="0.25">
      <c r="H2425" t="s">
        <v>15</v>
      </c>
      <c r="I2425" s="4">
        <v>46000</v>
      </c>
    </row>
    <row r="2426" spans="1:11" x14ac:dyDescent="0.25">
      <c r="H2426" t="s">
        <v>97</v>
      </c>
      <c r="I2426" s="4">
        <v>40000</v>
      </c>
    </row>
    <row r="2427" spans="1:11" x14ac:dyDescent="0.25">
      <c r="H2427" t="s">
        <v>16</v>
      </c>
      <c r="I2427" s="4">
        <v>30000</v>
      </c>
    </row>
    <row r="2429" spans="1:11" x14ac:dyDescent="0.25">
      <c r="H2429" t="s">
        <v>17</v>
      </c>
      <c r="I2429" s="4">
        <f>SUM(I2424:I2428)</f>
        <v>236000</v>
      </c>
    </row>
    <row r="2431" spans="1:11" x14ac:dyDescent="0.25">
      <c r="A2431" s="1" t="s">
        <v>0</v>
      </c>
      <c r="B2431" s="1" t="s">
        <v>1</v>
      </c>
      <c r="C2431" s="1" t="s">
        <v>2</v>
      </c>
      <c r="D2431" s="1" t="s">
        <v>3</v>
      </c>
      <c r="E2431" s="1" t="s">
        <v>4</v>
      </c>
      <c r="F2431" s="2" t="s">
        <v>5</v>
      </c>
      <c r="G2431" s="9" t="s">
        <v>40</v>
      </c>
      <c r="H2431" s="1" t="s">
        <v>6</v>
      </c>
      <c r="I2431" s="2" t="s">
        <v>7</v>
      </c>
      <c r="J2431" s="1" t="s">
        <v>8</v>
      </c>
      <c r="K2431" s="1" t="s">
        <v>9</v>
      </c>
    </row>
    <row r="2432" spans="1:11" x14ac:dyDescent="0.25">
      <c r="A2432" s="3">
        <v>45404</v>
      </c>
      <c r="B2432" t="s">
        <v>385</v>
      </c>
      <c r="C2432" t="s">
        <v>1097</v>
      </c>
      <c r="D2432" t="s">
        <v>19</v>
      </c>
      <c r="E2432">
        <v>2021</v>
      </c>
      <c r="F2432" s="4">
        <v>106000</v>
      </c>
      <c r="G2432" s="10" t="s">
        <v>1098</v>
      </c>
      <c r="H2432" t="s">
        <v>1099</v>
      </c>
      <c r="I2432" s="4">
        <v>220000</v>
      </c>
    </row>
    <row r="2433" spans="8:9" x14ac:dyDescent="0.25">
      <c r="H2433" t="s">
        <v>259</v>
      </c>
      <c r="I2433" s="4">
        <v>35000</v>
      </c>
    </row>
    <row r="2434" spans="8:9" x14ac:dyDescent="0.25">
      <c r="H2434" t="s">
        <v>1100</v>
      </c>
      <c r="I2434" s="4">
        <v>38000</v>
      </c>
    </row>
    <row r="2435" spans="8:9" x14ac:dyDescent="0.25">
      <c r="H2435" t="s">
        <v>1101</v>
      </c>
      <c r="I2435" s="4">
        <v>22000</v>
      </c>
    </row>
    <row r="2436" spans="8:9" x14ac:dyDescent="0.25">
      <c r="H2436" t="s">
        <v>1102</v>
      </c>
      <c r="I2436" s="4">
        <v>35000</v>
      </c>
    </row>
    <row r="2437" spans="8:9" x14ac:dyDescent="0.25">
      <c r="H2437" t="s">
        <v>258</v>
      </c>
      <c r="I2437" s="4">
        <v>25000</v>
      </c>
    </row>
    <row r="2438" spans="8:9" x14ac:dyDescent="0.25">
      <c r="H2438" t="s">
        <v>154</v>
      </c>
      <c r="I2438" s="4">
        <v>12000</v>
      </c>
    </row>
    <row r="2439" spans="8:9" x14ac:dyDescent="0.25">
      <c r="H2439" t="s">
        <v>155</v>
      </c>
      <c r="I2439" s="4">
        <v>45000</v>
      </c>
    </row>
    <row r="2440" spans="8:9" x14ac:dyDescent="0.25">
      <c r="H2440" t="s">
        <v>1103</v>
      </c>
      <c r="I2440" s="4">
        <v>280000</v>
      </c>
    </row>
    <row r="2441" spans="8:9" x14ac:dyDescent="0.25">
      <c r="H2441" t="s">
        <v>193</v>
      </c>
      <c r="I2441" s="4">
        <v>60000</v>
      </c>
    </row>
    <row r="2442" spans="8:9" x14ac:dyDescent="0.25">
      <c r="H2442" t="s">
        <v>339</v>
      </c>
      <c r="I2442" s="4">
        <v>150000</v>
      </c>
    </row>
    <row r="2443" spans="8:9" x14ac:dyDescent="0.25">
      <c r="H2443" t="s">
        <v>1104</v>
      </c>
      <c r="I2443" s="4">
        <v>15000</v>
      </c>
    </row>
    <row r="2444" spans="8:9" x14ac:dyDescent="0.25">
      <c r="H2444" t="s">
        <v>1105</v>
      </c>
      <c r="I2444" s="4">
        <v>42000</v>
      </c>
    </row>
    <row r="2445" spans="8:9" x14ac:dyDescent="0.25">
      <c r="H2445" t="s">
        <v>50</v>
      </c>
      <c r="I2445" s="4">
        <v>20000</v>
      </c>
    </row>
    <row r="2447" spans="8:9" x14ac:dyDescent="0.25">
      <c r="H2447" t="s">
        <v>17</v>
      </c>
      <c r="I2447" s="4">
        <f>SUM(I2432:I2446)</f>
        <v>999000</v>
      </c>
    </row>
    <row r="2449" spans="1:11" x14ac:dyDescent="0.25">
      <c r="A2449" s="1" t="s">
        <v>0</v>
      </c>
      <c r="B2449" s="1" t="s">
        <v>1</v>
      </c>
      <c r="C2449" s="1" t="s">
        <v>2</v>
      </c>
      <c r="D2449" s="1" t="s">
        <v>3</v>
      </c>
      <c r="E2449" s="1" t="s">
        <v>4</v>
      </c>
      <c r="F2449" s="2" t="s">
        <v>5</v>
      </c>
      <c r="G2449" s="9" t="s">
        <v>40</v>
      </c>
      <c r="H2449" s="1" t="s">
        <v>6</v>
      </c>
      <c r="I2449" s="2" t="s">
        <v>7</v>
      </c>
      <c r="J2449" s="1" t="s">
        <v>8</v>
      </c>
      <c r="K2449" s="1" t="s">
        <v>9</v>
      </c>
    </row>
    <row r="2450" spans="1:11" x14ac:dyDescent="0.25">
      <c r="A2450" s="3">
        <v>45404</v>
      </c>
      <c r="B2450" t="s">
        <v>29</v>
      </c>
      <c r="C2450" t="s">
        <v>1106</v>
      </c>
      <c r="D2450" t="s">
        <v>19</v>
      </c>
      <c r="F2450" s="4">
        <v>21922</v>
      </c>
      <c r="H2450" t="s">
        <v>59</v>
      </c>
      <c r="I2450" s="4">
        <v>300000</v>
      </c>
    </row>
    <row r="2451" spans="1:11" x14ac:dyDescent="0.25">
      <c r="H2451" t="s">
        <v>627</v>
      </c>
      <c r="I2451" s="4">
        <v>130000</v>
      </c>
    </row>
    <row r="2452" spans="1:11" x14ac:dyDescent="0.25">
      <c r="H2452" t="s">
        <v>48</v>
      </c>
      <c r="I2452" s="4">
        <v>240000</v>
      </c>
    </row>
    <row r="2453" spans="1:11" x14ac:dyDescent="0.25">
      <c r="H2453" t="s">
        <v>39</v>
      </c>
      <c r="I2453" s="4">
        <v>120000</v>
      </c>
    </row>
    <row r="2454" spans="1:11" x14ac:dyDescent="0.25">
      <c r="H2454" t="s">
        <v>658</v>
      </c>
    </row>
    <row r="2456" spans="1:11" x14ac:dyDescent="0.25">
      <c r="H2456" t="s">
        <v>17</v>
      </c>
      <c r="I2456" s="4">
        <f>SUM(I2450:I2455)</f>
        <v>790000</v>
      </c>
    </row>
    <row r="2458" spans="1:11" x14ac:dyDescent="0.25">
      <c r="A2458" s="1" t="s">
        <v>0</v>
      </c>
      <c r="B2458" s="1" t="s">
        <v>1</v>
      </c>
      <c r="C2458" s="1" t="s">
        <v>2</v>
      </c>
      <c r="D2458" s="1" t="s">
        <v>3</v>
      </c>
      <c r="E2458" s="1" t="s">
        <v>4</v>
      </c>
      <c r="F2458" s="2" t="s">
        <v>5</v>
      </c>
      <c r="G2458" s="9" t="s">
        <v>40</v>
      </c>
      <c r="H2458" s="1" t="s">
        <v>6</v>
      </c>
      <c r="I2458" s="2" t="s">
        <v>7</v>
      </c>
      <c r="J2458" s="1" t="s">
        <v>8</v>
      </c>
      <c r="K2458" s="1" t="s">
        <v>9</v>
      </c>
    </row>
    <row r="2459" spans="1:11" x14ac:dyDescent="0.25">
      <c r="A2459" s="3">
        <v>45404</v>
      </c>
      <c r="B2459" t="s">
        <v>76</v>
      </c>
      <c r="C2459" t="s">
        <v>1107</v>
      </c>
      <c r="D2459" t="s">
        <v>31</v>
      </c>
      <c r="F2459" s="4">
        <v>44245</v>
      </c>
      <c r="G2459" s="10" t="s">
        <v>383</v>
      </c>
      <c r="H2459" t="s">
        <v>251</v>
      </c>
    </row>
    <row r="2460" spans="1:11" x14ac:dyDescent="0.25">
      <c r="H2460" t="s">
        <v>47</v>
      </c>
    </row>
    <row r="2462" spans="1:11" x14ac:dyDescent="0.25">
      <c r="H2462" t="s">
        <v>17</v>
      </c>
    </row>
    <row r="2464" spans="1:11" x14ac:dyDescent="0.25">
      <c r="A2464" s="1" t="s">
        <v>0</v>
      </c>
      <c r="B2464" s="1" t="s">
        <v>1</v>
      </c>
      <c r="C2464" s="1" t="s">
        <v>2</v>
      </c>
      <c r="D2464" s="1" t="s">
        <v>3</v>
      </c>
      <c r="E2464" s="1" t="s">
        <v>4</v>
      </c>
      <c r="F2464" s="2" t="s">
        <v>5</v>
      </c>
      <c r="G2464" s="9" t="s">
        <v>40</v>
      </c>
      <c r="H2464" s="1" t="s">
        <v>6</v>
      </c>
      <c r="I2464" s="2" t="s">
        <v>7</v>
      </c>
      <c r="J2464" s="1" t="s">
        <v>8</v>
      </c>
      <c r="K2464" s="1" t="s">
        <v>9</v>
      </c>
    </row>
    <row r="2465" spans="1:11" x14ac:dyDescent="0.25">
      <c r="A2465" s="3">
        <v>45405</v>
      </c>
      <c r="B2465" t="s">
        <v>71</v>
      </c>
      <c r="C2465" t="s">
        <v>94</v>
      </c>
      <c r="D2465" t="s">
        <v>19</v>
      </c>
      <c r="F2465" s="4">
        <v>69053</v>
      </c>
      <c r="H2465" t="s">
        <v>879</v>
      </c>
      <c r="I2465" s="4">
        <v>290000</v>
      </c>
    </row>
    <row r="2466" spans="1:11" x14ac:dyDescent="0.25">
      <c r="H2466" t="s">
        <v>16</v>
      </c>
      <c r="I2466" s="4">
        <v>150000</v>
      </c>
    </row>
    <row r="2468" spans="1:11" x14ac:dyDescent="0.25">
      <c r="H2468" t="s">
        <v>17</v>
      </c>
      <c r="I2468" s="4">
        <f>SUM(I2465:I2467)</f>
        <v>440000</v>
      </c>
    </row>
    <row r="2470" spans="1:11" x14ac:dyDescent="0.25">
      <c r="A2470" s="1" t="s">
        <v>0</v>
      </c>
      <c r="B2470" s="1" t="s">
        <v>1</v>
      </c>
      <c r="C2470" s="1" t="s">
        <v>2</v>
      </c>
      <c r="D2470" s="1" t="s">
        <v>3</v>
      </c>
      <c r="E2470" s="1" t="s">
        <v>4</v>
      </c>
      <c r="F2470" s="2" t="s">
        <v>5</v>
      </c>
      <c r="G2470" s="9" t="s">
        <v>40</v>
      </c>
      <c r="H2470" s="1" t="s">
        <v>6</v>
      </c>
      <c r="I2470" s="2" t="s">
        <v>7</v>
      </c>
      <c r="J2470" s="1" t="s">
        <v>8</v>
      </c>
      <c r="K2470" s="1" t="s">
        <v>9</v>
      </c>
    </row>
    <row r="2471" spans="1:11" x14ac:dyDescent="0.25">
      <c r="A2471" s="3">
        <v>45405</v>
      </c>
      <c r="B2471" t="s">
        <v>10</v>
      </c>
      <c r="C2471" t="s">
        <v>912</v>
      </c>
      <c r="D2471" t="s">
        <v>87</v>
      </c>
      <c r="E2471">
        <v>2013</v>
      </c>
      <c r="F2471" s="4">
        <v>45811</v>
      </c>
      <c r="G2471" s="10" t="s">
        <v>913</v>
      </c>
      <c r="H2471" t="s">
        <v>106</v>
      </c>
    </row>
    <row r="2472" spans="1:11" x14ac:dyDescent="0.25">
      <c r="H2472" t="s">
        <v>432</v>
      </c>
      <c r="I2472" s="4">
        <v>200000</v>
      </c>
    </row>
    <row r="2473" spans="1:11" x14ac:dyDescent="0.25">
      <c r="H2473" t="s">
        <v>1108</v>
      </c>
      <c r="I2473" s="4">
        <v>80000</v>
      </c>
    </row>
    <row r="2475" spans="1:11" x14ac:dyDescent="0.25">
      <c r="H2475" t="s">
        <v>17</v>
      </c>
      <c r="I2475" s="4">
        <f>SUM(I2471:I2474)</f>
        <v>280000</v>
      </c>
    </row>
    <row r="2477" spans="1:11" x14ac:dyDescent="0.25">
      <c r="A2477" s="1" t="s">
        <v>0</v>
      </c>
      <c r="B2477" s="1" t="s">
        <v>1</v>
      </c>
      <c r="C2477" s="1" t="s">
        <v>2</v>
      </c>
      <c r="D2477" s="1" t="s">
        <v>3</v>
      </c>
      <c r="E2477" s="1" t="s">
        <v>4</v>
      </c>
      <c r="F2477" s="2" t="s">
        <v>5</v>
      </c>
      <c r="G2477" s="9" t="s">
        <v>40</v>
      </c>
      <c r="H2477" s="1" t="s">
        <v>6</v>
      </c>
      <c r="I2477" s="2" t="s">
        <v>7</v>
      </c>
      <c r="J2477" s="1" t="s">
        <v>8</v>
      </c>
      <c r="K2477" s="1" t="s">
        <v>9</v>
      </c>
    </row>
    <row r="2478" spans="1:11" x14ac:dyDescent="0.25">
      <c r="A2478" s="3">
        <v>45405</v>
      </c>
      <c r="B2478" t="s">
        <v>10</v>
      </c>
      <c r="C2478" t="s">
        <v>915</v>
      </c>
      <c r="D2478" t="s">
        <v>26</v>
      </c>
      <c r="F2478" s="4">
        <v>117267</v>
      </c>
      <c r="G2478" s="10" t="s">
        <v>916</v>
      </c>
      <c r="H2478" t="s">
        <v>658</v>
      </c>
      <c r="I2478" s="4">
        <v>688000</v>
      </c>
    </row>
    <row r="2479" spans="1:11" x14ac:dyDescent="0.25">
      <c r="H2479" t="s">
        <v>1111</v>
      </c>
      <c r="I2479" s="4">
        <v>30000</v>
      </c>
    </row>
    <row r="2481" spans="1:11" x14ac:dyDescent="0.25">
      <c r="H2481" t="s">
        <v>17</v>
      </c>
      <c r="I2481" s="4">
        <f>SUM(I2478:I2480)</f>
        <v>718000</v>
      </c>
    </row>
    <row r="2483" spans="1:11" x14ac:dyDescent="0.25">
      <c r="A2483" s="1" t="s">
        <v>0</v>
      </c>
      <c r="B2483" s="1" t="s">
        <v>1</v>
      </c>
      <c r="C2483" s="1" t="s">
        <v>2</v>
      </c>
      <c r="D2483" s="1" t="s">
        <v>3</v>
      </c>
      <c r="E2483" s="1" t="s">
        <v>4</v>
      </c>
      <c r="F2483" s="2" t="s">
        <v>5</v>
      </c>
      <c r="G2483" s="9" t="s">
        <v>40</v>
      </c>
      <c r="H2483" s="1" t="s">
        <v>6</v>
      </c>
      <c r="I2483" s="2" t="s">
        <v>7</v>
      </c>
      <c r="J2483" s="1" t="s">
        <v>8</v>
      </c>
      <c r="K2483" s="1" t="s">
        <v>9</v>
      </c>
    </row>
    <row r="2484" spans="1:11" x14ac:dyDescent="0.25">
      <c r="A2484" s="3">
        <v>45405</v>
      </c>
      <c r="B2484" t="s">
        <v>1183</v>
      </c>
      <c r="C2484" t="s">
        <v>1184</v>
      </c>
      <c r="D2484" t="s">
        <v>544</v>
      </c>
      <c r="E2484">
        <v>2021</v>
      </c>
      <c r="F2484" s="4">
        <v>21967</v>
      </c>
      <c r="G2484" s="10" t="s">
        <v>1185</v>
      </c>
      <c r="H2484" t="s">
        <v>1186</v>
      </c>
      <c r="I2484" s="4">
        <v>260000</v>
      </c>
    </row>
    <row r="2485" spans="1:11" x14ac:dyDescent="0.25">
      <c r="H2485" t="s">
        <v>106</v>
      </c>
      <c r="I2485" s="4">
        <v>150000</v>
      </c>
    </row>
    <row r="2486" spans="1:11" x14ac:dyDescent="0.25">
      <c r="H2486" t="s">
        <v>34</v>
      </c>
      <c r="I2486" s="4">
        <v>53000</v>
      </c>
    </row>
    <row r="2487" spans="1:11" x14ac:dyDescent="0.25">
      <c r="H2487" t="s">
        <v>672</v>
      </c>
      <c r="I2487" s="4">
        <v>15000</v>
      </c>
    </row>
    <row r="2488" spans="1:11" x14ac:dyDescent="0.25">
      <c r="H2488" t="s">
        <v>15</v>
      </c>
      <c r="I2488" s="4">
        <v>18000</v>
      </c>
    </row>
    <row r="2490" spans="1:11" x14ac:dyDescent="0.25">
      <c r="H2490" t="s">
        <v>17</v>
      </c>
      <c r="I2490" s="4">
        <f>SUM(I2484:I2489)</f>
        <v>496000</v>
      </c>
    </row>
    <row r="2495" spans="1:11" x14ac:dyDescent="0.25">
      <c r="A2495" s="1" t="s">
        <v>0</v>
      </c>
      <c r="B2495" s="1" t="s">
        <v>1</v>
      </c>
      <c r="C2495" s="1" t="s">
        <v>2</v>
      </c>
      <c r="D2495" s="1" t="s">
        <v>3</v>
      </c>
      <c r="E2495" s="1" t="s">
        <v>4</v>
      </c>
      <c r="F2495" s="2" t="s">
        <v>5</v>
      </c>
      <c r="G2495" s="9" t="s">
        <v>40</v>
      </c>
      <c r="H2495" s="1" t="s">
        <v>6</v>
      </c>
      <c r="I2495" s="2" t="s">
        <v>7</v>
      </c>
      <c r="J2495" s="1" t="s">
        <v>8</v>
      </c>
      <c r="K2495" s="1" t="s">
        <v>9</v>
      </c>
    </row>
    <row r="2496" spans="1:11" x14ac:dyDescent="0.25">
      <c r="A2496" s="3">
        <v>45406</v>
      </c>
      <c r="B2496" t="s">
        <v>10</v>
      </c>
      <c r="C2496" t="s">
        <v>159</v>
      </c>
      <c r="D2496" t="s">
        <v>26</v>
      </c>
      <c r="F2496" s="4">
        <v>48758</v>
      </c>
      <c r="G2496" s="10" t="s">
        <v>160</v>
      </c>
      <c r="H2496" t="s">
        <v>1112</v>
      </c>
    </row>
    <row r="2498" spans="1:11" x14ac:dyDescent="0.25">
      <c r="H2498" t="s">
        <v>17</v>
      </c>
      <c r="I2498" s="4">
        <v>140000</v>
      </c>
    </row>
    <row r="2500" spans="1:11" x14ac:dyDescent="0.25">
      <c r="A2500" s="1" t="s">
        <v>0</v>
      </c>
      <c r="B2500" s="1" t="s">
        <v>1</v>
      </c>
      <c r="C2500" s="1" t="s">
        <v>2</v>
      </c>
      <c r="D2500" s="1" t="s">
        <v>3</v>
      </c>
      <c r="E2500" s="1" t="s">
        <v>4</v>
      </c>
      <c r="F2500" s="2" t="s">
        <v>5</v>
      </c>
      <c r="G2500" s="9" t="s">
        <v>40</v>
      </c>
      <c r="H2500" s="1" t="s">
        <v>6</v>
      </c>
      <c r="I2500" s="2" t="s">
        <v>7</v>
      </c>
      <c r="J2500" s="1" t="s">
        <v>8</v>
      </c>
      <c r="K2500" s="1" t="s">
        <v>9</v>
      </c>
    </row>
    <row r="2501" spans="1:11" x14ac:dyDescent="0.25">
      <c r="A2501" s="3">
        <v>45406</v>
      </c>
      <c r="B2501" t="s">
        <v>10</v>
      </c>
      <c r="C2501" t="s">
        <v>1109</v>
      </c>
      <c r="D2501" t="s">
        <v>12</v>
      </c>
      <c r="F2501" s="4">
        <v>103992</v>
      </c>
      <c r="G2501" s="10" t="s">
        <v>1110</v>
      </c>
      <c r="H2501" t="s">
        <v>112</v>
      </c>
    </row>
    <row r="2502" spans="1:11" x14ac:dyDescent="0.25">
      <c r="H2502" t="s">
        <v>102</v>
      </c>
    </row>
    <row r="2504" spans="1:11" x14ac:dyDescent="0.25">
      <c r="H2504" t="s">
        <v>17</v>
      </c>
      <c r="I2504" s="4">
        <v>110000</v>
      </c>
    </row>
    <row r="2506" spans="1:11" x14ac:dyDescent="0.25">
      <c r="A2506" s="1" t="s">
        <v>0</v>
      </c>
      <c r="B2506" s="1" t="s">
        <v>1</v>
      </c>
      <c r="C2506" s="1" t="s">
        <v>2</v>
      </c>
      <c r="D2506" s="1" t="s">
        <v>3</v>
      </c>
      <c r="E2506" s="1" t="s">
        <v>4</v>
      </c>
      <c r="F2506" s="2" t="s">
        <v>5</v>
      </c>
      <c r="G2506" s="9" t="s">
        <v>40</v>
      </c>
      <c r="H2506" s="1" t="s">
        <v>6</v>
      </c>
      <c r="I2506" s="2" t="s">
        <v>7</v>
      </c>
      <c r="J2506" s="1" t="s">
        <v>8</v>
      </c>
      <c r="K2506" s="1" t="s">
        <v>9</v>
      </c>
    </row>
    <row r="2507" spans="1:11" x14ac:dyDescent="0.25">
      <c r="A2507" s="3">
        <v>45407</v>
      </c>
      <c r="B2507" t="s">
        <v>10</v>
      </c>
      <c r="C2507" t="s">
        <v>1117</v>
      </c>
      <c r="D2507" t="s">
        <v>26</v>
      </c>
      <c r="F2507" s="4">
        <v>69182</v>
      </c>
      <c r="G2507" s="10" t="s">
        <v>1118</v>
      </c>
      <c r="H2507" t="s">
        <v>1119</v>
      </c>
    </row>
    <row r="2509" spans="1:11" x14ac:dyDescent="0.25">
      <c r="H2509" t="s">
        <v>17</v>
      </c>
    </row>
    <row r="2511" spans="1:11" x14ac:dyDescent="0.25">
      <c r="A2511" s="1" t="s">
        <v>0</v>
      </c>
      <c r="B2511" s="1" t="s">
        <v>1</v>
      </c>
      <c r="C2511" s="1" t="s">
        <v>2</v>
      </c>
      <c r="D2511" s="1" t="s">
        <v>3</v>
      </c>
      <c r="E2511" s="1" t="s">
        <v>4</v>
      </c>
      <c r="F2511" s="2" t="s">
        <v>5</v>
      </c>
      <c r="G2511" s="9" t="s">
        <v>40</v>
      </c>
      <c r="H2511" s="1" t="s">
        <v>6</v>
      </c>
      <c r="I2511" s="2" t="s">
        <v>7</v>
      </c>
      <c r="J2511" s="1" t="s">
        <v>8</v>
      </c>
      <c r="K2511" s="1" t="s">
        <v>9</v>
      </c>
    </row>
    <row r="2512" spans="1:11" x14ac:dyDescent="0.25">
      <c r="A2512" s="3">
        <v>45407</v>
      </c>
      <c r="B2512" t="s">
        <v>385</v>
      </c>
      <c r="C2512" t="s">
        <v>1120</v>
      </c>
      <c r="D2512" t="s">
        <v>19</v>
      </c>
      <c r="G2512" s="10" t="s">
        <v>1121</v>
      </c>
      <c r="H2512" t="s">
        <v>1122</v>
      </c>
      <c r="I2512" s="4">
        <v>150000</v>
      </c>
    </row>
    <row r="2513" spans="1:11" x14ac:dyDescent="0.25">
      <c r="H2513" t="s">
        <v>672</v>
      </c>
      <c r="I2513" s="4">
        <v>15000</v>
      </c>
    </row>
    <row r="2514" spans="1:11" x14ac:dyDescent="0.25">
      <c r="H2514" t="s">
        <v>1123</v>
      </c>
      <c r="I2514" s="4">
        <v>17000</v>
      </c>
    </row>
    <row r="2515" spans="1:11" x14ac:dyDescent="0.25">
      <c r="H2515" t="s">
        <v>1124</v>
      </c>
      <c r="I2515" s="4">
        <v>45000</v>
      </c>
    </row>
    <row r="2517" spans="1:11" x14ac:dyDescent="0.25">
      <c r="H2517" t="s">
        <v>17</v>
      </c>
      <c r="I2517" s="4">
        <f>SUM(I2512:I2516)</f>
        <v>227000</v>
      </c>
    </row>
    <row r="2519" spans="1:11" x14ac:dyDescent="0.25">
      <c r="A2519" s="1" t="s">
        <v>0</v>
      </c>
      <c r="B2519" s="1" t="s">
        <v>1</v>
      </c>
      <c r="C2519" s="1" t="s">
        <v>2</v>
      </c>
      <c r="D2519" s="1" t="s">
        <v>3</v>
      </c>
      <c r="E2519" s="1" t="s">
        <v>4</v>
      </c>
      <c r="F2519" s="2" t="s">
        <v>5</v>
      </c>
      <c r="G2519" s="9" t="s">
        <v>40</v>
      </c>
      <c r="H2519" s="1" t="s">
        <v>6</v>
      </c>
      <c r="I2519" s="2" t="s">
        <v>7</v>
      </c>
      <c r="J2519" s="1" t="s">
        <v>8</v>
      </c>
      <c r="K2519" s="1" t="s">
        <v>9</v>
      </c>
    </row>
    <row r="2520" spans="1:11" x14ac:dyDescent="0.25">
      <c r="A2520" s="3">
        <v>46138</v>
      </c>
      <c r="B2520" t="s">
        <v>10</v>
      </c>
      <c r="C2520" t="s">
        <v>1125</v>
      </c>
      <c r="D2520" t="s">
        <v>12</v>
      </c>
      <c r="F2520" s="4">
        <v>42446</v>
      </c>
      <c r="G2520" s="10" t="s">
        <v>1126</v>
      </c>
      <c r="H2520" t="s">
        <v>39</v>
      </c>
      <c r="I2520" s="4">
        <v>390000</v>
      </c>
    </row>
    <row r="2521" spans="1:11" x14ac:dyDescent="0.25">
      <c r="H2521" t="s">
        <v>61</v>
      </c>
      <c r="I2521" s="4">
        <v>140000</v>
      </c>
    </row>
    <row r="2523" spans="1:11" x14ac:dyDescent="0.25">
      <c r="H2523" t="s">
        <v>17</v>
      </c>
      <c r="I2523" s="4">
        <f>SUM(I2520:I2522)</f>
        <v>530000</v>
      </c>
    </row>
    <row r="2525" spans="1:11" x14ac:dyDescent="0.25">
      <c r="A2525" s="1" t="s">
        <v>0</v>
      </c>
      <c r="B2525" s="1" t="s">
        <v>1</v>
      </c>
      <c r="C2525" s="1" t="s">
        <v>2</v>
      </c>
      <c r="D2525" s="1" t="s">
        <v>3</v>
      </c>
      <c r="E2525" s="1" t="s">
        <v>4</v>
      </c>
      <c r="F2525" s="2" t="s">
        <v>5</v>
      </c>
      <c r="G2525" s="9" t="s">
        <v>40</v>
      </c>
      <c r="H2525" s="1" t="s">
        <v>6</v>
      </c>
      <c r="I2525" s="2" t="s">
        <v>7</v>
      </c>
      <c r="J2525" s="1" t="s">
        <v>8</v>
      </c>
      <c r="K2525" s="1" t="s">
        <v>9</v>
      </c>
    </row>
    <row r="2526" spans="1:11" x14ac:dyDescent="0.25">
      <c r="A2526" s="3">
        <v>45408</v>
      </c>
      <c r="B2526" t="s">
        <v>10</v>
      </c>
      <c r="C2526" t="s">
        <v>860</v>
      </c>
      <c r="D2526" t="s">
        <v>19</v>
      </c>
      <c r="F2526" s="4">
        <v>22929</v>
      </c>
      <c r="G2526" s="10" t="s">
        <v>861</v>
      </c>
      <c r="H2526" t="s">
        <v>50</v>
      </c>
      <c r="I2526" s="4">
        <v>116000</v>
      </c>
    </row>
    <row r="2527" spans="1:11" x14ac:dyDescent="0.25">
      <c r="H2527" t="s">
        <v>1127</v>
      </c>
      <c r="I2527" s="4">
        <v>1300000</v>
      </c>
    </row>
    <row r="2528" spans="1:11" x14ac:dyDescent="0.25">
      <c r="H2528" t="s">
        <v>1128</v>
      </c>
      <c r="I2528" s="4">
        <v>150000</v>
      </c>
    </row>
    <row r="2529" spans="1:11" x14ac:dyDescent="0.25">
      <c r="H2529" t="s">
        <v>714</v>
      </c>
      <c r="I2529" s="4">
        <v>40000</v>
      </c>
    </row>
    <row r="2530" spans="1:11" x14ac:dyDescent="0.25">
      <c r="H2530" t="s">
        <v>180</v>
      </c>
      <c r="I2530" s="4">
        <v>250000</v>
      </c>
    </row>
    <row r="2532" spans="1:11" x14ac:dyDescent="0.25">
      <c r="H2532" t="s">
        <v>17</v>
      </c>
      <c r="I2532" s="4">
        <f>SUM(I2526:I2531)</f>
        <v>1856000</v>
      </c>
    </row>
    <row r="2534" spans="1:11" x14ac:dyDescent="0.25">
      <c r="A2534" s="1" t="s">
        <v>0</v>
      </c>
      <c r="B2534" s="1" t="s">
        <v>1</v>
      </c>
      <c r="C2534" s="1" t="s">
        <v>2</v>
      </c>
      <c r="D2534" s="1" t="s">
        <v>3</v>
      </c>
      <c r="E2534" s="1" t="s">
        <v>4</v>
      </c>
      <c r="F2534" s="2" t="s">
        <v>5</v>
      </c>
      <c r="G2534" s="9" t="s">
        <v>40</v>
      </c>
      <c r="H2534" s="1" t="s">
        <v>6</v>
      </c>
      <c r="I2534" s="2" t="s">
        <v>7</v>
      </c>
      <c r="J2534" s="1" t="s">
        <v>8</v>
      </c>
      <c r="K2534" s="1" t="s">
        <v>9</v>
      </c>
    </row>
    <row r="2535" spans="1:11" x14ac:dyDescent="0.25">
      <c r="A2535" s="3">
        <v>45408</v>
      </c>
      <c r="B2535" t="s">
        <v>363</v>
      </c>
      <c r="C2535" t="s">
        <v>1129</v>
      </c>
      <c r="H2535" t="s">
        <v>106</v>
      </c>
      <c r="I2535" s="4">
        <v>150000</v>
      </c>
    </row>
    <row r="2536" spans="1:11" x14ac:dyDescent="0.25">
      <c r="H2536" t="s">
        <v>33</v>
      </c>
      <c r="I2536" s="4">
        <v>20000</v>
      </c>
    </row>
    <row r="2538" spans="1:11" x14ac:dyDescent="0.25">
      <c r="H2538" t="s">
        <v>17</v>
      </c>
      <c r="I2538" s="4">
        <f>SUM(I2535:I2537)</f>
        <v>170000</v>
      </c>
    </row>
    <row r="2540" spans="1:11" x14ac:dyDescent="0.25">
      <c r="A2540" s="1" t="s">
        <v>0</v>
      </c>
      <c r="B2540" s="1" t="s">
        <v>1</v>
      </c>
      <c r="C2540" s="1" t="s">
        <v>2</v>
      </c>
      <c r="D2540" s="1" t="s">
        <v>3</v>
      </c>
      <c r="E2540" s="1" t="s">
        <v>4</v>
      </c>
      <c r="F2540" s="2" t="s">
        <v>5</v>
      </c>
      <c r="G2540" s="9" t="s">
        <v>40</v>
      </c>
      <c r="H2540" s="1" t="s">
        <v>6</v>
      </c>
      <c r="I2540" s="2" t="s">
        <v>7</v>
      </c>
      <c r="J2540" s="1" t="s">
        <v>8</v>
      </c>
      <c r="K2540" s="1" t="s">
        <v>9</v>
      </c>
    </row>
    <row r="2541" spans="1:11" x14ac:dyDescent="0.25">
      <c r="A2541" s="3">
        <v>45408</v>
      </c>
      <c r="B2541" t="s">
        <v>10</v>
      </c>
      <c r="C2541" t="s">
        <v>631</v>
      </c>
      <c r="D2541" t="s">
        <v>762</v>
      </c>
      <c r="F2541" s="4">
        <v>32197</v>
      </c>
      <c r="G2541" s="10" t="s">
        <v>632</v>
      </c>
      <c r="H2541" t="s">
        <v>1130</v>
      </c>
    </row>
    <row r="2542" spans="1:11" x14ac:dyDescent="0.25">
      <c r="H2542" t="s">
        <v>1131</v>
      </c>
    </row>
    <row r="2543" spans="1:11" x14ac:dyDescent="0.25">
      <c r="H2543" t="s">
        <v>1132</v>
      </c>
      <c r="I2543" s="4">
        <v>120000</v>
      </c>
    </row>
    <row r="2544" spans="1:11" x14ac:dyDescent="0.25">
      <c r="H2544" t="s">
        <v>691</v>
      </c>
      <c r="I2544" s="4">
        <v>160000</v>
      </c>
    </row>
    <row r="2545" spans="1:11" x14ac:dyDescent="0.25">
      <c r="H2545" t="s">
        <v>1133</v>
      </c>
    </row>
    <row r="2546" spans="1:11" x14ac:dyDescent="0.25">
      <c r="H2546" t="s">
        <v>33</v>
      </c>
      <c r="I2546" s="4">
        <v>20000</v>
      </c>
    </row>
    <row r="2548" spans="1:11" x14ac:dyDescent="0.25">
      <c r="H2548" t="s">
        <v>17</v>
      </c>
      <c r="I2548" s="4">
        <f>SUM(I2541:I2547)</f>
        <v>300000</v>
      </c>
    </row>
    <row r="2550" spans="1:11" x14ac:dyDescent="0.25">
      <c r="A2550" s="1" t="s">
        <v>0</v>
      </c>
      <c r="B2550" s="1" t="s">
        <v>1</v>
      </c>
      <c r="C2550" s="1" t="s">
        <v>2</v>
      </c>
      <c r="D2550" s="1" t="s">
        <v>3</v>
      </c>
      <c r="E2550" s="1" t="s">
        <v>4</v>
      </c>
      <c r="F2550" s="2" t="s">
        <v>5</v>
      </c>
      <c r="G2550" s="9" t="s">
        <v>40</v>
      </c>
      <c r="H2550" s="1" t="s">
        <v>6</v>
      </c>
      <c r="I2550" s="2" t="s">
        <v>7</v>
      </c>
      <c r="J2550" s="1" t="s">
        <v>8</v>
      </c>
      <c r="K2550" s="1" t="s">
        <v>9</v>
      </c>
    </row>
    <row r="2551" spans="1:11" x14ac:dyDescent="0.25">
      <c r="A2551" s="3">
        <v>45408</v>
      </c>
      <c r="B2551" t="s">
        <v>201</v>
      </c>
      <c r="C2551" t="s">
        <v>1134</v>
      </c>
      <c r="D2551" t="s">
        <v>19</v>
      </c>
      <c r="E2551">
        <v>2016</v>
      </c>
      <c r="F2551" s="4">
        <v>53860</v>
      </c>
      <c r="G2551" s="10" t="s">
        <v>1135</v>
      </c>
      <c r="H2551" t="s">
        <v>14</v>
      </c>
      <c r="I2551" s="4">
        <v>40000</v>
      </c>
    </row>
    <row r="2552" spans="1:11" x14ac:dyDescent="0.25">
      <c r="H2552" t="s">
        <v>15</v>
      </c>
      <c r="I2552" s="4">
        <v>18000</v>
      </c>
    </row>
    <row r="2553" spans="1:11" x14ac:dyDescent="0.25">
      <c r="H2553" t="s">
        <v>1136</v>
      </c>
      <c r="I2553" s="4">
        <v>35000</v>
      </c>
    </row>
    <row r="2554" spans="1:11" x14ac:dyDescent="0.25">
      <c r="H2554" t="s">
        <v>95</v>
      </c>
      <c r="I2554" s="4">
        <v>6000</v>
      </c>
    </row>
    <row r="2555" spans="1:11" x14ac:dyDescent="0.25">
      <c r="H2555" t="s">
        <v>1137</v>
      </c>
      <c r="I2555" s="4">
        <v>20000</v>
      </c>
    </row>
    <row r="2556" spans="1:11" x14ac:dyDescent="0.25">
      <c r="H2556" t="s">
        <v>16</v>
      </c>
      <c r="I2556" s="4">
        <v>30000</v>
      </c>
    </row>
    <row r="2558" spans="1:11" x14ac:dyDescent="0.25">
      <c r="H2558" t="s">
        <v>17</v>
      </c>
      <c r="I2558" s="4">
        <f>SUM(I2551:I2557)</f>
        <v>149000</v>
      </c>
    </row>
    <row r="2560" spans="1:11" x14ac:dyDescent="0.25">
      <c r="A2560" s="1" t="s">
        <v>0</v>
      </c>
      <c r="B2560" s="1" t="s">
        <v>1</v>
      </c>
      <c r="C2560" s="1" t="s">
        <v>2</v>
      </c>
      <c r="D2560" s="1" t="s">
        <v>3</v>
      </c>
      <c r="E2560" s="1" t="s">
        <v>4</v>
      </c>
      <c r="F2560" s="2" t="s">
        <v>5</v>
      </c>
      <c r="G2560" s="9" t="s">
        <v>40</v>
      </c>
      <c r="H2560" s="1" t="s">
        <v>6</v>
      </c>
      <c r="I2560" s="2" t="s">
        <v>7</v>
      </c>
      <c r="J2560" s="1" t="s">
        <v>8</v>
      </c>
      <c r="K2560" s="1" t="s">
        <v>9</v>
      </c>
    </row>
    <row r="2561" spans="1:11" x14ac:dyDescent="0.25">
      <c r="A2561" s="3">
        <v>45408</v>
      </c>
      <c r="B2561" t="s">
        <v>10</v>
      </c>
      <c r="C2561" t="s">
        <v>18</v>
      </c>
      <c r="D2561" t="s">
        <v>19</v>
      </c>
      <c r="E2561">
        <v>2014</v>
      </c>
      <c r="F2561" s="4">
        <v>126274</v>
      </c>
      <c r="G2561" s="10" t="s">
        <v>42</v>
      </c>
      <c r="H2561" t="s">
        <v>571</v>
      </c>
      <c r="I2561" s="4">
        <v>80000</v>
      </c>
    </row>
    <row r="2562" spans="1:11" x14ac:dyDescent="0.25">
      <c r="H2562" t="s">
        <v>33</v>
      </c>
      <c r="I2562" s="4">
        <v>20000</v>
      </c>
    </row>
    <row r="2563" spans="1:11" x14ac:dyDescent="0.25">
      <c r="H2563" t="s">
        <v>453</v>
      </c>
      <c r="I2563" s="4">
        <v>90000</v>
      </c>
    </row>
    <row r="2564" spans="1:11" x14ac:dyDescent="0.25">
      <c r="H2564" t="s">
        <v>722</v>
      </c>
    </row>
    <row r="2565" spans="1:11" x14ac:dyDescent="0.25">
      <c r="H2565" t="s">
        <v>102</v>
      </c>
      <c r="I2565" s="4">
        <v>35000</v>
      </c>
    </row>
    <row r="2567" spans="1:11" x14ac:dyDescent="0.25">
      <c r="H2567" t="s">
        <v>17</v>
      </c>
      <c r="I2567" s="4">
        <f>SUM(I2561:I2566)</f>
        <v>225000</v>
      </c>
    </row>
    <row r="2569" spans="1:11" x14ac:dyDescent="0.25">
      <c r="A2569" s="1" t="s">
        <v>0</v>
      </c>
      <c r="B2569" s="1" t="s">
        <v>1</v>
      </c>
      <c r="C2569" s="1" t="s">
        <v>2</v>
      </c>
      <c r="D2569" s="1" t="s">
        <v>3</v>
      </c>
      <c r="E2569" s="1" t="s">
        <v>4</v>
      </c>
      <c r="F2569" s="2" t="s">
        <v>5</v>
      </c>
      <c r="G2569" s="9" t="s">
        <v>40</v>
      </c>
      <c r="H2569" s="1" t="s">
        <v>6</v>
      </c>
      <c r="I2569" s="2" t="s">
        <v>7</v>
      </c>
      <c r="J2569" s="1" t="s">
        <v>8</v>
      </c>
      <c r="K2569" s="1" t="s">
        <v>9</v>
      </c>
    </row>
    <row r="2570" spans="1:11" x14ac:dyDescent="0.25">
      <c r="A2570" s="3">
        <v>45408</v>
      </c>
      <c r="B2570" t="s">
        <v>1083</v>
      </c>
      <c r="C2570" t="s">
        <v>1084</v>
      </c>
      <c r="D2570" t="s">
        <v>31</v>
      </c>
      <c r="G2570" s="10" t="s">
        <v>1085</v>
      </c>
      <c r="H2570" t="s">
        <v>1086</v>
      </c>
      <c r="I2570" s="4">
        <v>350000</v>
      </c>
    </row>
    <row r="2571" spans="1:11" x14ac:dyDescent="0.25">
      <c r="H2571" t="s">
        <v>33</v>
      </c>
      <c r="I2571" s="4">
        <v>20000</v>
      </c>
    </row>
    <row r="2572" spans="1:11" x14ac:dyDescent="0.25">
      <c r="H2572" t="s">
        <v>1087</v>
      </c>
      <c r="I2572" s="4">
        <v>80000</v>
      </c>
    </row>
    <row r="2573" spans="1:11" x14ac:dyDescent="0.25">
      <c r="H2573" t="s">
        <v>1088</v>
      </c>
      <c r="I2573" s="4">
        <v>70000</v>
      </c>
    </row>
    <row r="2574" spans="1:11" x14ac:dyDescent="0.25">
      <c r="H2574" t="s">
        <v>451</v>
      </c>
      <c r="I2574" s="4">
        <v>350000</v>
      </c>
    </row>
    <row r="2575" spans="1:11" x14ac:dyDescent="0.25">
      <c r="H2575" t="s">
        <v>1089</v>
      </c>
      <c r="I2575" s="4">
        <v>40000</v>
      </c>
    </row>
    <row r="2577" spans="1:11" x14ac:dyDescent="0.25">
      <c r="H2577" t="s">
        <v>17</v>
      </c>
      <c r="I2577" s="4">
        <f>SUM(I2570:I2576)</f>
        <v>910000</v>
      </c>
    </row>
    <row r="2579" spans="1:11" x14ac:dyDescent="0.25">
      <c r="A2579" s="1" t="s">
        <v>0</v>
      </c>
      <c r="B2579" s="1" t="s">
        <v>1</v>
      </c>
      <c r="C2579" s="1" t="s">
        <v>2</v>
      </c>
      <c r="D2579" s="1" t="s">
        <v>3</v>
      </c>
      <c r="E2579" s="1" t="s">
        <v>4</v>
      </c>
      <c r="F2579" s="2" t="s">
        <v>5</v>
      </c>
      <c r="G2579" s="9" t="s">
        <v>40</v>
      </c>
      <c r="H2579" s="1" t="s">
        <v>6</v>
      </c>
      <c r="I2579" s="2" t="s">
        <v>7</v>
      </c>
      <c r="J2579" s="1" t="s">
        <v>8</v>
      </c>
      <c r="K2579" s="1" t="s">
        <v>9</v>
      </c>
    </row>
    <row r="2580" spans="1:11" x14ac:dyDescent="0.25">
      <c r="A2580" s="3">
        <v>45408</v>
      </c>
      <c r="B2580" t="s">
        <v>10</v>
      </c>
      <c r="C2580" t="s">
        <v>1113</v>
      </c>
      <c r="D2580" t="s">
        <v>19</v>
      </c>
      <c r="F2580" s="4">
        <v>80366</v>
      </c>
      <c r="G2580" s="10" t="s">
        <v>1114</v>
      </c>
      <c r="H2580" t="s">
        <v>48</v>
      </c>
      <c r="I2580" s="4">
        <v>80000</v>
      </c>
    </row>
    <row r="2581" spans="1:11" x14ac:dyDescent="0.25">
      <c r="H2581" t="s">
        <v>39</v>
      </c>
      <c r="I2581" s="4">
        <v>160000</v>
      </c>
    </row>
    <row r="2582" spans="1:11" x14ac:dyDescent="0.25">
      <c r="H2582" t="s">
        <v>14</v>
      </c>
      <c r="I2582" s="4">
        <v>192000</v>
      </c>
    </row>
    <row r="2583" spans="1:11" x14ac:dyDescent="0.25">
      <c r="H2583" t="s">
        <v>15</v>
      </c>
      <c r="I2583" s="4">
        <v>46000</v>
      </c>
    </row>
    <row r="2584" spans="1:11" x14ac:dyDescent="0.25">
      <c r="H2584" t="s">
        <v>1115</v>
      </c>
      <c r="I2584" s="4">
        <v>430000</v>
      </c>
    </row>
    <row r="2585" spans="1:11" x14ac:dyDescent="0.25">
      <c r="H2585" t="s">
        <v>672</v>
      </c>
      <c r="I2585" s="4">
        <v>35000</v>
      </c>
    </row>
    <row r="2586" spans="1:11" x14ac:dyDescent="0.25">
      <c r="H2586" t="s">
        <v>331</v>
      </c>
      <c r="I2586" s="4">
        <v>140000</v>
      </c>
    </row>
    <row r="2587" spans="1:11" x14ac:dyDescent="0.25">
      <c r="H2587" t="s">
        <v>68</v>
      </c>
      <c r="I2587" s="4">
        <v>148000</v>
      </c>
    </row>
    <row r="2588" spans="1:11" x14ac:dyDescent="0.25">
      <c r="H2588" t="s">
        <v>1116</v>
      </c>
      <c r="I2588" s="4">
        <v>140000</v>
      </c>
    </row>
    <row r="2589" spans="1:11" x14ac:dyDescent="0.25">
      <c r="H2589" t="s">
        <v>577</v>
      </c>
      <c r="I2589" s="4">
        <v>120000</v>
      </c>
    </row>
    <row r="2590" spans="1:11" x14ac:dyDescent="0.25">
      <c r="H2590" t="s">
        <v>59</v>
      </c>
      <c r="I2590" s="4">
        <v>320000</v>
      </c>
    </row>
    <row r="2591" spans="1:11" x14ac:dyDescent="0.25">
      <c r="H2591" t="s">
        <v>142</v>
      </c>
      <c r="I2591" s="4">
        <v>140000</v>
      </c>
    </row>
    <row r="2592" spans="1:11" x14ac:dyDescent="0.25">
      <c r="H2592" t="s">
        <v>232</v>
      </c>
      <c r="I2592" s="4">
        <v>204000</v>
      </c>
    </row>
    <row r="2594" spans="1:11" x14ac:dyDescent="0.25">
      <c r="H2594" t="s">
        <v>17</v>
      </c>
      <c r="I2594" s="4">
        <f>SUM(I2580:I2593)</f>
        <v>2155000</v>
      </c>
    </row>
    <row r="2596" spans="1:11" x14ac:dyDescent="0.25">
      <c r="A2596" s="1" t="s">
        <v>0</v>
      </c>
      <c r="B2596" s="1" t="s">
        <v>1</v>
      </c>
      <c r="C2596" s="1" t="s">
        <v>2</v>
      </c>
      <c r="D2596" s="1" t="s">
        <v>3</v>
      </c>
      <c r="E2596" s="1" t="s">
        <v>4</v>
      </c>
      <c r="F2596" s="2" t="s">
        <v>5</v>
      </c>
      <c r="G2596" s="9" t="s">
        <v>40</v>
      </c>
      <c r="H2596" s="1" t="s">
        <v>6</v>
      </c>
      <c r="I2596" s="2" t="s">
        <v>7</v>
      </c>
      <c r="J2596" s="1" t="s">
        <v>8</v>
      </c>
      <c r="K2596" s="1" t="s">
        <v>9</v>
      </c>
    </row>
    <row r="2597" spans="1:11" x14ac:dyDescent="0.25">
      <c r="A2597" s="3">
        <v>45409</v>
      </c>
      <c r="B2597" t="s">
        <v>10</v>
      </c>
      <c r="C2597" t="s">
        <v>217</v>
      </c>
      <c r="D2597" t="s">
        <v>26</v>
      </c>
      <c r="E2597">
        <v>2014</v>
      </c>
      <c r="F2597" s="4">
        <v>74757</v>
      </c>
      <c r="G2597" s="10" t="s">
        <v>218</v>
      </c>
      <c r="H2597" t="s">
        <v>1138</v>
      </c>
      <c r="I2597" s="4">
        <v>80000</v>
      </c>
    </row>
    <row r="2598" spans="1:11" x14ac:dyDescent="0.25">
      <c r="H2598" t="s">
        <v>102</v>
      </c>
      <c r="I2598" s="4">
        <v>35000</v>
      </c>
    </row>
    <row r="2599" spans="1:11" x14ac:dyDescent="0.25">
      <c r="H2599" t="s">
        <v>838</v>
      </c>
      <c r="I2599" s="4">
        <v>110000</v>
      </c>
    </row>
    <row r="2601" spans="1:11" x14ac:dyDescent="0.25">
      <c r="H2601" t="s">
        <v>17</v>
      </c>
      <c r="I2601" s="4">
        <f>SUM(I2597:I2600)</f>
        <v>225000</v>
      </c>
    </row>
    <row r="2603" spans="1:11" x14ac:dyDescent="0.25">
      <c r="A2603" s="1" t="s">
        <v>0</v>
      </c>
      <c r="B2603" s="1" t="s">
        <v>1</v>
      </c>
      <c r="C2603" s="1" t="s">
        <v>2</v>
      </c>
      <c r="D2603" s="1" t="s">
        <v>3</v>
      </c>
      <c r="E2603" s="1" t="s">
        <v>4</v>
      </c>
      <c r="F2603" s="2" t="s">
        <v>5</v>
      </c>
      <c r="G2603" s="9" t="s">
        <v>40</v>
      </c>
      <c r="H2603" s="1" t="s">
        <v>6</v>
      </c>
      <c r="I2603" s="2" t="s">
        <v>7</v>
      </c>
      <c r="J2603" s="1" t="s">
        <v>8</v>
      </c>
      <c r="K2603" s="1" t="s">
        <v>9</v>
      </c>
    </row>
    <row r="2604" spans="1:11" x14ac:dyDescent="0.25">
      <c r="A2604" s="3">
        <v>45409</v>
      </c>
      <c r="B2604" t="s">
        <v>10</v>
      </c>
      <c r="C2604" t="s">
        <v>871</v>
      </c>
      <c r="D2604" t="s">
        <v>12</v>
      </c>
      <c r="G2604" s="10" t="s">
        <v>872</v>
      </c>
      <c r="H2604" t="s">
        <v>1139</v>
      </c>
      <c r="I2604" s="4">
        <v>259100</v>
      </c>
    </row>
    <row r="2605" spans="1:11" x14ac:dyDescent="0.25">
      <c r="H2605" t="s">
        <v>657</v>
      </c>
      <c r="I2605" s="4">
        <v>80000</v>
      </c>
    </row>
    <row r="2606" spans="1:11" x14ac:dyDescent="0.25">
      <c r="H2606" t="s">
        <v>1140</v>
      </c>
      <c r="I2606" s="4">
        <v>30000</v>
      </c>
    </row>
    <row r="2607" spans="1:11" x14ac:dyDescent="0.25">
      <c r="H2607" t="s">
        <v>1141</v>
      </c>
      <c r="I2607" s="4">
        <v>140000</v>
      </c>
    </row>
    <row r="2608" spans="1:11" x14ac:dyDescent="0.25">
      <c r="H2608" t="s">
        <v>1142</v>
      </c>
      <c r="I2608" s="4">
        <v>120000</v>
      </c>
    </row>
    <row r="2609" spans="1:11" x14ac:dyDescent="0.25">
      <c r="H2609" t="s">
        <v>33</v>
      </c>
      <c r="I2609" s="4">
        <v>20000</v>
      </c>
    </row>
    <row r="2610" spans="1:11" x14ac:dyDescent="0.25">
      <c r="H2610" t="s">
        <v>1143</v>
      </c>
      <c r="I2610" s="4">
        <v>15000</v>
      </c>
    </row>
    <row r="2611" spans="1:11" x14ac:dyDescent="0.25">
      <c r="H2611" t="s">
        <v>1144</v>
      </c>
      <c r="I2611" s="4">
        <v>5000</v>
      </c>
    </row>
    <row r="2613" spans="1:11" x14ac:dyDescent="0.25">
      <c r="H2613" t="s">
        <v>17</v>
      </c>
      <c r="I2613" s="4">
        <f>SUM(I2604:I2612)</f>
        <v>669100</v>
      </c>
    </row>
    <row r="2615" spans="1:11" x14ac:dyDescent="0.25">
      <c r="A2615" s="1" t="s">
        <v>0</v>
      </c>
      <c r="B2615" s="1" t="s">
        <v>1</v>
      </c>
      <c r="C2615" s="1" t="s">
        <v>2</v>
      </c>
      <c r="D2615" s="1" t="s">
        <v>3</v>
      </c>
      <c r="E2615" s="1" t="s">
        <v>4</v>
      </c>
      <c r="F2615" s="2" t="s">
        <v>5</v>
      </c>
      <c r="G2615" s="9" t="s">
        <v>40</v>
      </c>
      <c r="H2615" s="1" t="s">
        <v>6</v>
      </c>
      <c r="I2615" s="2" t="s">
        <v>7</v>
      </c>
      <c r="J2615" s="1" t="s">
        <v>8</v>
      </c>
      <c r="K2615" s="1" t="s">
        <v>9</v>
      </c>
    </row>
    <row r="2616" spans="1:11" x14ac:dyDescent="0.25">
      <c r="A2616" s="3">
        <v>45409</v>
      </c>
      <c r="B2616" t="s">
        <v>608</v>
      </c>
      <c r="C2616" t="s">
        <v>1223</v>
      </c>
      <c r="D2616" t="s">
        <v>87</v>
      </c>
      <c r="E2616">
        <v>2014</v>
      </c>
      <c r="F2616" s="4">
        <v>59900</v>
      </c>
      <c r="G2616" s="10" t="s">
        <v>1224</v>
      </c>
      <c r="H2616" t="s">
        <v>1225</v>
      </c>
      <c r="I2616" s="4">
        <v>60000</v>
      </c>
    </row>
    <row r="2617" spans="1:11" x14ac:dyDescent="0.25">
      <c r="H2617" t="s">
        <v>1226</v>
      </c>
      <c r="I2617" s="4">
        <v>80000</v>
      </c>
    </row>
    <row r="2618" spans="1:11" x14ac:dyDescent="0.25">
      <c r="H2618" t="s">
        <v>59</v>
      </c>
      <c r="I2618" s="4">
        <v>250000</v>
      </c>
    </row>
    <row r="2619" spans="1:11" x14ac:dyDescent="0.25">
      <c r="H2619" t="s">
        <v>1227</v>
      </c>
      <c r="I2619" s="4">
        <v>50000</v>
      </c>
    </row>
    <row r="2620" spans="1:11" x14ac:dyDescent="0.25">
      <c r="H2620" t="s">
        <v>15</v>
      </c>
      <c r="I2620" s="4">
        <v>15000</v>
      </c>
    </row>
    <row r="2622" spans="1:11" x14ac:dyDescent="0.25">
      <c r="H2622" t="s">
        <v>17</v>
      </c>
      <c r="I2622" s="4">
        <f>SUM(I2616:I2621)</f>
        <v>455000</v>
      </c>
    </row>
    <row r="2624" spans="1:11" x14ac:dyDescent="0.25">
      <c r="A2624" s="1" t="s">
        <v>0</v>
      </c>
      <c r="B2624" s="1" t="s">
        <v>1</v>
      </c>
      <c r="C2624" s="1" t="s">
        <v>2</v>
      </c>
      <c r="D2624" s="1" t="s">
        <v>3</v>
      </c>
      <c r="E2624" s="1" t="s">
        <v>4</v>
      </c>
      <c r="F2624" s="2" t="s">
        <v>5</v>
      </c>
      <c r="G2624" s="9" t="s">
        <v>40</v>
      </c>
      <c r="H2624" s="1" t="s">
        <v>6</v>
      </c>
      <c r="I2624" s="2" t="s">
        <v>7</v>
      </c>
      <c r="J2624" s="1" t="s">
        <v>8</v>
      </c>
      <c r="K2624" s="1" t="s">
        <v>9</v>
      </c>
    </row>
    <row r="2625" spans="1:11" x14ac:dyDescent="0.25">
      <c r="A2625" s="3">
        <v>45409</v>
      </c>
      <c r="B2625" t="s">
        <v>363</v>
      </c>
      <c r="C2625" t="s">
        <v>1228</v>
      </c>
      <c r="E2625">
        <v>2018</v>
      </c>
      <c r="G2625" s="10" t="s">
        <v>1229</v>
      </c>
      <c r="H2625" t="s">
        <v>1230</v>
      </c>
    </row>
    <row r="2627" spans="1:11" x14ac:dyDescent="0.25">
      <c r="H2627" t="s">
        <v>17</v>
      </c>
    </row>
    <row r="2629" spans="1:11" x14ac:dyDescent="0.25">
      <c r="A2629" s="1" t="s">
        <v>0</v>
      </c>
      <c r="B2629" s="1" t="s">
        <v>1</v>
      </c>
      <c r="C2629" s="1" t="s">
        <v>2</v>
      </c>
      <c r="D2629" s="1" t="s">
        <v>3</v>
      </c>
      <c r="E2629" s="1" t="s">
        <v>4</v>
      </c>
      <c r="F2629" s="2" t="s">
        <v>5</v>
      </c>
      <c r="G2629" s="9" t="s">
        <v>40</v>
      </c>
      <c r="H2629" s="1" t="s">
        <v>6</v>
      </c>
      <c r="I2629" s="2" t="s">
        <v>7</v>
      </c>
      <c r="J2629" s="1" t="s">
        <v>8</v>
      </c>
      <c r="K2629" s="1" t="s">
        <v>9</v>
      </c>
    </row>
    <row r="2630" spans="1:11" x14ac:dyDescent="0.25">
      <c r="A2630" s="3">
        <v>45411</v>
      </c>
      <c r="B2630" t="s">
        <v>511</v>
      </c>
      <c r="C2630" t="s">
        <v>1231</v>
      </c>
      <c r="D2630" t="s">
        <v>762</v>
      </c>
      <c r="G2630" s="10" t="s">
        <v>512</v>
      </c>
      <c r="H2630" t="s">
        <v>1232</v>
      </c>
    </row>
    <row r="2631" spans="1:11" x14ac:dyDescent="0.25">
      <c r="H2631" t="s">
        <v>1233</v>
      </c>
    </row>
    <row r="2633" spans="1:11" x14ac:dyDescent="0.25">
      <c r="H2633" t="s">
        <v>17</v>
      </c>
    </row>
    <row r="2635" spans="1:11" x14ac:dyDescent="0.25">
      <c r="A2635" s="1" t="s">
        <v>0</v>
      </c>
      <c r="B2635" s="1" t="s">
        <v>1</v>
      </c>
      <c r="C2635" s="1" t="s">
        <v>2</v>
      </c>
      <c r="D2635" s="1" t="s">
        <v>3</v>
      </c>
      <c r="E2635" s="1" t="s">
        <v>4</v>
      </c>
      <c r="F2635" s="2" t="s">
        <v>5</v>
      </c>
      <c r="G2635" s="9" t="s">
        <v>40</v>
      </c>
      <c r="H2635" s="1" t="s">
        <v>6</v>
      </c>
      <c r="I2635" s="2" t="s">
        <v>7</v>
      </c>
      <c r="J2635" s="1" t="s">
        <v>8</v>
      </c>
      <c r="K2635" s="1" t="s">
        <v>9</v>
      </c>
    </row>
    <row r="2636" spans="1:11" x14ac:dyDescent="0.25">
      <c r="A2636" s="3">
        <v>45411</v>
      </c>
      <c r="B2636" t="s">
        <v>10</v>
      </c>
      <c r="C2636" t="s">
        <v>1080</v>
      </c>
      <c r="D2636" t="s">
        <v>26</v>
      </c>
      <c r="F2636" s="4">
        <v>75928</v>
      </c>
      <c r="G2636" s="10" t="s">
        <v>1081</v>
      </c>
      <c r="H2636" t="s">
        <v>39</v>
      </c>
      <c r="I2636" s="4">
        <v>160000</v>
      </c>
    </row>
    <row r="2637" spans="1:11" x14ac:dyDescent="0.25">
      <c r="H2637" t="s">
        <v>1082</v>
      </c>
    </row>
    <row r="2639" spans="1:11" x14ac:dyDescent="0.25">
      <c r="H2639" t="s">
        <v>17</v>
      </c>
      <c r="I2639" s="4">
        <f>SUM(I2636:I2638)</f>
        <v>160000</v>
      </c>
    </row>
    <row r="2641" spans="1:11" x14ac:dyDescent="0.25">
      <c r="A2641" s="1" t="s">
        <v>0</v>
      </c>
      <c r="B2641" s="1" t="s">
        <v>1</v>
      </c>
      <c r="C2641" s="1" t="s">
        <v>2</v>
      </c>
      <c r="D2641" s="1" t="s">
        <v>3</v>
      </c>
      <c r="E2641" s="1" t="s">
        <v>4</v>
      </c>
      <c r="F2641" s="2" t="s">
        <v>5</v>
      </c>
      <c r="G2641" s="9" t="s">
        <v>40</v>
      </c>
      <c r="H2641" s="1" t="s">
        <v>6</v>
      </c>
      <c r="I2641" s="2" t="s">
        <v>7</v>
      </c>
      <c r="J2641" s="1" t="s">
        <v>8</v>
      </c>
      <c r="K2641" s="1" t="s">
        <v>9</v>
      </c>
    </row>
    <row r="2642" spans="1:11" x14ac:dyDescent="0.25">
      <c r="A2642" s="3">
        <v>45411</v>
      </c>
      <c r="B2642" t="s">
        <v>29</v>
      </c>
      <c r="C2642" t="s">
        <v>1145</v>
      </c>
      <c r="D2642" t="s">
        <v>544</v>
      </c>
      <c r="F2642" s="4">
        <v>95639</v>
      </c>
      <c r="H2642" t="s">
        <v>59</v>
      </c>
      <c r="I2642" s="4">
        <v>300000</v>
      </c>
    </row>
    <row r="2643" spans="1:11" x14ac:dyDescent="0.25">
      <c r="H2643" t="s">
        <v>47</v>
      </c>
      <c r="I2643" s="4">
        <v>100000</v>
      </c>
    </row>
    <row r="2644" spans="1:11" x14ac:dyDescent="0.25">
      <c r="H2644" t="s">
        <v>129</v>
      </c>
      <c r="I2644" s="4">
        <v>327000</v>
      </c>
    </row>
    <row r="2645" spans="1:11" x14ac:dyDescent="0.25">
      <c r="H2645" t="s">
        <v>48</v>
      </c>
      <c r="I2645" s="4">
        <v>80000</v>
      </c>
    </row>
    <row r="2646" spans="1:11" x14ac:dyDescent="0.25">
      <c r="H2646" t="s">
        <v>33</v>
      </c>
      <c r="I2646" s="4">
        <v>20000</v>
      </c>
    </row>
    <row r="2647" spans="1:11" x14ac:dyDescent="0.25">
      <c r="H2647" t="s">
        <v>14</v>
      </c>
      <c r="I2647" s="4">
        <v>126000</v>
      </c>
    </row>
    <row r="2648" spans="1:11" x14ac:dyDescent="0.25">
      <c r="H2648" t="s">
        <v>15</v>
      </c>
      <c r="I2648" s="4">
        <v>48000</v>
      </c>
    </row>
    <row r="2649" spans="1:11" x14ac:dyDescent="0.25">
      <c r="H2649" t="s">
        <v>1146</v>
      </c>
      <c r="I2649" s="4">
        <v>45000</v>
      </c>
    </row>
    <row r="2651" spans="1:11" x14ac:dyDescent="0.25">
      <c r="H2651" t="s">
        <v>17</v>
      </c>
      <c r="I2651" s="4">
        <f>SUM(I2642:I2650)</f>
        <v>1046000</v>
      </c>
    </row>
    <row r="2653" spans="1:11" x14ac:dyDescent="0.25">
      <c r="A2653" s="1" t="s">
        <v>0</v>
      </c>
      <c r="B2653" s="1" t="s">
        <v>1</v>
      </c>
      <c r="C2653" s="1" t="s">
        <v>2</v>
      </c>
      <c r="D2653" s="1" t="s">
        <v>3</v>
      </c>
      <c r="E2653" s="1" t="s">
        <v>4</v>
      </c>
      <c r="F2653" s="2" t="s">
        <v>5</v>
      </c>
      <c r="G2653" s="9" t="s">
        <v>40</v>
      </c>
      <c r="H2653" s="1" t="s">
        <v>6</v>
      </c>
      <c r="I2653" s="2" t="s">
        <v>7</v>
      </c>
      <c r="J2653" s="1" t="s">
        <v>8</v>
      </c>
      <c r="K2653" s="1" t="s">
        <v>9</v>
      </c>
    </row>
    <row r="2654" spans="1:11" x14ac:dyDescent="0.25">
      <c r="A2654" s="3">
        <v>45411</v>
      </c>
      <c r="B2654" t="s">
        <v>10</v>
      </c>
      <c r="C2654" t="s">
        <v>1147</v>
      </c>
      <c r="D2654" t="s">
        <v>26</v>
      </c>
      <c r="F2654" s="4">
        <v>86855</v>
      </c>
      <c r="G2654" s="10" t="s">
        <v>1148</v>
      </c>
      <c r="H2654" t="s">
        <v>14</v>
      </c>
      <c r="I2654" s="4">
        <v>192000</v>
      </c>
    </row>
    <row r="2655" spans="1:11" x14ac:dyDescent="0.25">
      <c r="H2655" t="s">
        <v>15</v>
      </c>
      <c r="I2655" s="4">
        <v>46000</v>
      </c>
    </row>
    <row r="2656" spans="1:11" x14ac:dyDescent="0.25">
      <c r="H2656" t="s">
        <v>108</v>
      </c>
      <c r="I2656" s="4">
        <v>30000</v>
      </c>
    </row>
    <row r="2657" spans="1:11" x14ac:dyDescent="0.25">
      <c r="H2657" t="s">
        <v>16</v>
      </c>
      <c r="I2657" s="4">
        <v>30000</v>
      </c>
    </row>
    <row r="2659" spans="1:11" x14ac:dyDescent="0.25">
      <c r="H2659" t="s">
        <v>17</v>
      </c>
      <c r="I2659" s="4">
        <f>SUM(I2654:I2658)</f>
        <v>298000</v>
      </c>
    </row>
    <row r="2661" spans="1:11" x14ac:dyDescent="0.25">
      <c r="A2661" s="1" t="s">
        <v>0</v>
      </c>
      <c r="B2661" s="1" t="s">
        <v>1</v>
      </c>
      <c r="C2661" s="1" t="s">
        <v>2</v>
      </c>
      <c r="D2661" s="1" t="s">
        <v>3</v>
      </c>
      <c r="E2661" s="1" t="s">
        <v>4</v>
      </c>
      <c r="F2661" s="2" t="s">
        <v>5</v>
      </c>
      <c r="G2661" s="9" t="s">
        <v>40</v>
      </c>
      <c r="H2661" s="1" t="s">
        <v>6</v>
      </c>
      <c r="I2661" s="2" t="s">
        <v>7</v>
      </c>
      <c r="J2661" s="1" t="s">
        <v>8</v>
      </c>
      <c r="K2661" s="1" t="s">
        <v>9</v>
      </c>
    </row>
    <row r="2662" spans="1:11" x14ac:dyDescent="0.25">
      <c r="A2662" s="3">
        <v>45411</v>
      </c>
      <c r="B2662" t="s">
        <v>402</v>
      </c>
      <c r="C2662" t="s">
        <v>1149</v>
      </c>
      <c r="D2662" t="s">
        <v>1150</v>
      </c>
      <c r="E2662">
        <v>2018</v>
      </c>
      <c r="F2662" s="4">
        <v>50524</v>
      </c>
      <c r="G2662" s="10" t="s">
        <v>1151</v>
      </c>
      <c r="H2662" t="s">
        <v>1152</v>
      </c>
      <c r="I2662" s="4">
        <v>330000</v>
      </c>
    </row>
    <row r="2663" spans="1:11" x14ac:dyDescent="0.25">
      <c r="H2663" t="s">
        <v>16</v>
      </c>
      <c r="I2663" s="4">
        <v>80000</v>
      </c>
    </row>
    <row r="2664" spans="1:11" x14ac:dyDescent="0.25">
      <c r="H2664" t="s">
        <v>1153</v>
      </c>
      <c r="I2664" s="4">
        <v>257000</v>
      </c>
    </row>
    <row r="2665" spans="1:11" x14ac:dyDescent="0.25">
      <c r="H2665" t="s">
        <v>1154</v>
      </c>
      <c r="I2665" s="4">
        <v>50000</v>
      </c>
    </row>
    <row r="2666" spans="1:11" x14ac:dyDescent="0.25">
      <c r="H2666" t="s">
        <v>672</v>
      </c>
      <c r="I2666" s="4">
        <v>20000</v>
      </c>
    </row>
    <row r="2668" spans="1:11" x14ac:dyDescent="0.25">
      <c r="H2668" t="s">
        <v>17</v>
      </c>
      <c r="I2668" s="4">
        <f>SUM(I2662:I2667)</f>
        <v>737000</v>
      </c>
    </row>
    <row r="2670" spans="1:11" x14ac:dyDescent="0.25">
      <c r="A2670" s="1" t="s">
        <v>0</v>
      </c>
      <c r="B2670" s="1" t="s">
        <v>1</v>
      </c>
      <c r="C2670" s="1" t="s">
        <v>2</v>
      </c>
      <c r="D2670" s="1" t="s">
        <v>3</v>
      </c>
      <c r="E2670" s="1" t="s">
        <v>4</v>
      </c>
      <c r="F2670" s="2" t="s">
        <v>5</v>
      </c>
      <c r="G2670" s="9" t="s">
        <v>40</v>
      </c>
      <c r="H2670" s="1" t="s">
        <v>6</v>
      </c>
      <c r="I2670" s="2" t="s">
        <v>7</v>
      </c>
      <c r="J2670" s="1" t="s">
        <v>8</v>
      </c>
      <c r="K2670" s="1" t="s">
        <v>9</v>
      </c>
    </row>
    <row r="2671" spans="1:11" x14ac:dyDescent="0.25">
      <c r="A2671" s="3">
        <v>45412</v>
      </c>
      <c r="B2671" t="s">
        <v>29</v>
      </c>
      <c r="C2671" t="s">
        <v>526</v>
      </c>
      <c r="D2671" t="s">
        <v>19</v>
      </c>
      <c r="F2671" s="4">
        <v>163834</v>
      </c>
      <c r="G2671" s="10" t="s">
        <v>527</v>
      </c>
      <c r="H2671" t="s">
        <v>1155</v>
      </c>
      <c r="I2671" s="4">
        <v>236000</v>
      </c>
    </row>
    <row r="2672" spans="1:11" x14ac:dyDescent="0.25">
      <c r="H2672" t="s">
        <v>14</v>
      </c>
      <c r="I2672" s="4">
        <v>238000</v>
      </c>
    </row>
    <row r="2673" spans="1:11" x14ac:dyDescent="0.25">
      <c r="H2673" t="s">
        <v>15</v>
      </c>
      <c r="I2673" s="4">
        <v>46000</v>
      </c>
    </row>
    <row r="2674" spans="1:11" x14ac:dyDescent="0.25">
      <c r="H2674" t="s">
        <v>170</v>
      </c>
      <c r="I2674" s="4">
        <v>6000</v>
      </c>
    </row>
    <row r="2676" spans="1:11" x14ac:dyDescent="0.25">
      <c r="H2676" t="s">
        <v>17</v>
      </c>
      <c r="I2676" s="4">
        <f>SUM(I2671:I2675)</f>
        <v>526000</v>
      </c>
    </row>
    <row r="2678" spans="1:11" x14ac:dyDescent="0.25">
      <c r="A2678" s="1" t="s">
        <v>0</v>
      </c>
      <c r="B2678" s="1" t="s">
        <v>1</v>
      </c>
      <c r="C2678" s="1" t="s">
        <v>2</v>
      </c>
      <c r="D2678" s="1" t="s">
        <v>3</v>
      </c>
      <c r="E2678" s="1" t="s">
        <v>4</v>
      </c>
      <c r="F2678" s="2" t="s">
        <v>5</v>
      </c>
      <c r="G2678" s="9" t="s">
        <v>40</v>
      </c>
      <c r="H2678" s="1" t="s">
        <v>6</v>
      </c>
      <c r="I2678" s="2" t="s">
        <v>7</v>
      </c>
      <c r="J2678" s="1" t="s">
        <v>8</v>
      </c>
      <c r="K2678" s="1" t="s">
        <v>9</v>
      </c>
    </row>
    <row r="2679" spans="1:11" x14ac:dyDescent="0.25">
      <c r="A2679" s="3">
        <v>45412</v>
      </c>
      <c r="B2679" t="s">
        <v>10</v>
      </c>
      <c r="C2679" t="s">
        <v>245</v>
      </c>
      <c r="F2679" s="4">
        <v>122975</v>
      </c>
      <c r="G2679" s="10" t="s">
        <v>1156</v>
      </c>
      <c r="H2679" t="s">
        <v>14</v>
      </c>
      <c r="I2679" s="4">
        <v>214000</v>
      </c>
    </row>
    <row r="2680" spans="1:11" x14ac:dyDescent="0.25">
      <c r="H2680" t="s">
        <v>108</v>
      </c>
      <c r="I2680" s="4">
        <v>35000</v>
      </c>
    </row>
    <row r="2681" spans="1:11" x14ac:dyDescent="0.25">
      <c r="H2681" t="s">
        <v>15</v>
      </c>
      <c r="I2681" s="4">
        <v>46000</v>
      </c>
    </row>
    <row r="2683" spans="1:11" x14ac:dyDescent="0.25">
      <c r="H2683" t="s">
        <v>17</v>
      </c>
      <c r="I2683" s="4">
        <f>SUM(I2679:I2682)</f>
        <v>295000</v>
      </c>
    </row>
    <row r="2685" spans="1:11" x14ac:dyDescent="0.25">
      <c r="A2685" s="1" t="s">
        <v>0</v>
      </c>
      <c r="B2685" s="1" t="s">
        <v>1</v>
      </c>
      <c r="C2685" s="1" t="s">
        <v>2</v>
      </c>
      <c r="D2685" s="1" t="s">
        <v>3</v>
      </c>
      <c r="E2685" s="1" t="s">
        <v>4</v>
      </c>
      <c r="F2685" s="2" t="s">
        <v>5</v>
      </c>
      <c r="G2685" s="9" t="s">
        <v>40</v>
      </c>
      <c r="H2685" s="1" t="s">
        <v>6</v>
      </c>
      <c r="I2685" s="2" t="s">
        <v>7</v>
      </c>
      <c r="J2685" s="1" t="s">
        <v>8</v>
      </c>
      <c r="K2685" s="1" t="s">
        <v>9</v>
      </c>
    </row>
    <row r="2686" spans="1:11" x14ac:dyDescent="0.25">
      <c r="A2686" s="3">
        <v>45412</v>
      </c>
      <c r="B2686" t="s">
        <v>712</v>
      </c>
      <c r="D2686" t="s">
        <v>19</v>
      </c>
      <c r="H2686" t="s">
        <v>1234</v>
      </c>
    </row>
    <row r="2687" spans="1:11" x14ac:dyDescent="0.25">
      <c r="H2687" t="s">
        <v>1235</v>
      </c>
    </row>
    <row r="2688" spans="1:11" x14ac:dyDescent="0.25">
      <c r="H2688" t="s">
        <v>574</v>
      </c>
    </row>
    <row r="2689" spans="1:11" x14ac:dyDescent="0.25">
      <c r="H2689" t="s">
        <v>1236</v>
      </c>
    </row>
    <row r="2691" spans="1:11" x14ac:dyDescent="0.25">
      <c r="H2691" t="s">
        <v>17</v>
      </c>
    </row>
    <row r="2693" spans="1:11" x14ac:dyDescent="0.25">
      <c r="A2693" s="1" t="s">
        <v>0</v>
      </c>
      <c r="B2693" s="1" t="s">
        <v>1</v>
      </c>
      <c r="C2693" s="1" t="s">
        <v>2</v>
      </c>
      <c r="D2693" s="1" t="s">
        <v>3</v>
      </c>
      <c r="E2693" s="1" t="s">
        <v>4</v>
      </c>
      <c r="F2693" s="2" t="s">
        <v>5</v>
      </c>
      <c r="G2693" s="9" t="s">
        <v>40</v>
      </c>
      <c r="H2693" s="1" t="s">
        <v>6</v>
      </c>
      <c r="I2693" s="2" t="s">
        <v>7</v>
      </c>
      <c r="J2693" s="1" t="s">
        <v>8</v>
      </c>
      <c r="K2693" s="1" t="s">
        <v>9</v>
      </c>
    </row>
    <row r="2694" spans="1:11" x14ac:dyDescent="0.25">
      <c r="A2694" s="3">
        <v>45412</v>
      </c>
      <c r="B2694" t="s">
        <v>1237</v>
      </c>
      <c r="C2694" t="s">
        <v>1238</v>
      </c>
      <c r="E2694">
        <v>2024</v>
      </c>
      <c r="F2694" s="4">
        <v>14785</v>
      </c>
      <c r="G2694" s="10" t="s">
        <v>1239</v>
      </c>
      <c r="H2694" t="s">
        <v>59</v>
      </c>
    </row>
    <row r="2695" spans="1:11" x14ac:dyDescent="0.25">
      <c r="H2695" t="s">
        <v>14</v>
      </c>
    </row>
    <row r="2697" spans="1:11" x14ac:dyDescent="0.25">
      <c r="H2697" t="s">
        <v>17</v>
      </c>
    </row>
    <row r="2699" spans="1:11" x14ac:dyDescent="0.25">
      <c r="A2699" s="1" t="s">
        <v>0</v>
      </c>
      <c r="B2699" s="1" t="s">
        <v>1</v>
      </c>
      <c r="C2699" s="1" t="s">
        <v>2</v>
      </c>
      <c r="D2699" s="1" t="s">
        <v>3</v>
      </c>
      <c r="E2699" s="1" t="s">
        <v>4</v>
      </c>
      <c r="F2699" s="2" t="s">
        <v>5</v>
      </c>
      <c r="G2699" s="9" t="s">
        <v>40</v>
      </c>
      <c r="H2699" s="1" t="s">
        <v>6</v>
      </c>
      <c r="I2699" s="2" t="s">
        <v>7</v>
      </c>
      <c r="J2699" s="1" t="s">
        <v>8</v>
      </c>
      <c r="K2699" s="1" t="s">
        <v>9</v>
      </c>
    </row>
    <row r="2700" spans="1:11" x14ac:dyDescent="0.25">
      <c r="A2700" t="s">
        <v>1157</v>
      </c>
      <c r="B2700" t="s">
        <v>1158</v>
      </c>
      <c r="C2700" t="s">
        <v>1159</v>
      </c>
      <c r="D2700" t="s">
        <v>82</v>
      </c>
      <c r="G2700" s="10" t="s">
        <v>1160</v>
      </c>
      <c r="H2700" t="s">
        <v>292</v>
      </c>
      <c r="I2700" s="4">
        <f>80000+(80000*19%)</f>
        <v>95200</v>
      </c>
    </row>
    <row r="2701" spans="1:11" x14ac:dyDescent="0.25">
      <c r="H2701" t="s">
        <v>914</v>
      </c>
      <c r="I2701" s="4">
        <f>80000+(80000*19%)</f>
        <v>95200</v>
      </c>
    </row>
    <row r="2702" spans="1:11" x14ac:dyDescent="0.25">
      <c r="H2702" t="s">
        <v>1161</v>
      </c>
      <c r="I2702" s="4">
        <f>40000+(40000*19%)</f>
        <v>47600</v>
      </c>
    </row>
    <row r="2703" spans="1:11" x14ac:dyDescent="0.25">
      <c r="H2703" t="s">
        <v>33</v>
      </c>
      <c r="I2703" s="4">
        <f>20000+(20000*19%)</f>
        <v>23800</v>
      </c>
    </row>
    <row r="2704" spans="1:11" x14ac:dyDescent="0.25">
      <c r="H2704" t="s">
        <v>1162</v>
      </c>
      <c r="I2704" s="4">
        <f>30000+(30000*19%)</f>
        <v>35700</v>
      </c>
    </row>
    <row r="2705" spans="1:11" x14ac:dyDescent="0.25">
      <c r="H2705" t="s">
        <v>1163</v>
      </c>
      <c r="I2705" s="4">
        <f>80000+(80000*19%)</f>
        <v>95200</v>
      </c>
    </row>
    <row r="2706" spans="1:11" x14ac:dyDescent="0.25">
      <c r="H2706" t="s">
        <v>1164</v>
      </c>
      <c r="I2706" s="4">
        <f>15000+(15000*19%)</f>
        <v>17850</v>
      </c>
    </row>
    <row r="2707" spans="1:11" x14ac:dyDescent="0.25">
      <c r="H2707" t="s">
        <v>79</v>
      </c>
      <c r="I2707" s="4">
        <v>38000</v>
      </c>
    </row>
    <row r="2708" spans="1:11" x14ac:dyDescent="0.25">
      <c r="H2708" t="s">
        <v>37</v>
      </c>
      <c r="I2708" s="4">
        <f>190000+(190000*19%)</f>
        <v>226100</v>
      </c>
    </row>
    <row r="2709" spans="1:11" x14ac:dyDescent="0.25">
      <c r="H2709" t="s">
        <v>1165</v>
      </c>
      <c r="I2709" s="4">
        <f>60000+(60000*19%)</f>
        <v>71400</v>
      </c>
    </row>
    <row r="2710" spans="1:11" x14ac:dyDescent="0.25">
      <c r="H2710" t="s">
        <v>1166</v>
      </c>
      <c r="I2710" s="4">
        <f>60000+(60000*19%)</f>
        <v>71400</v>
      </c>
    </row>
    <row r="2711" spans="1:11" x14ac:dyDescent="0.25">
      <c r="H2711" t="s">
        <v>132</v>
      </c>
      <c r="I2711" s="4">
        <f>210000+(210000*19%)</f>
        <v>249900</v>
      </c>
    </row>
    <row r="2713" spans="1:11" x14ac:dyDescent="0.25">
      <c r="H2713" t="s">
        <v>17</v>
      </c>
      <c r="I2713" s="4">
        <f>SUM(I2700:I2712)</f>
        <v>1067350</v>
      </c>
    </row>
    <row r="2715" spans="1:11" x14ac:dyDescent="0.25">
      <c r="A2715" s="1" t="s">
        <v>0</v>
      </c>
      <c r="B2715" s="1" t="s">
        <v>1</v>
      </c>
      <c r="C2715" s="1" t="s">
        <v>2</v>
      </c>
      <c r="D2715" s="1" t="s">
        <v>3</v>
      </c>
      <c r="E2715" s="1" t="s">
        <v>4</v>
      </c>
      <c r="F2715" s="2" t="s">
        <v>5</v>
      </c>
      <c r="G2715" s="9" t="s">
        <v>40</v>
      </c>
      <c r="H2715" s="1" t="s">
        <v>6</v>
      </c>
      <c r="I2715" s="2" t="s">
        <v>7</v>
      </c>
      <c r="J2715" s="1" t="s">
        <v>8</v>
      </c>
      <c r="K2715" s="1" t="s">
        <v>9</v>
      </c>
    </row>
    <row r="2716" spans="1:11" x14ac:dyDescent="0.25">
      <c r="A2716" s="3">
        <v>45406</v>
      </c>
      <c r="B2716" t="s">
        <v>1167</v>
      </c>
      <c r="C2716" t="s">
        <v>631</v>
      </c>
      <c r="D2716" t="s">
        <v>1168</v>
      </c>
      <c r="G2716" s="10" t="s">
        <v>632</v>
      </c>
      <c r="H2716" t="s">
        <v>1169</v>
      </c>
      <c r="I2716" s="4">
        <f>900000+(900000*19%)</f>
        <v>1071000</v>
      </c>
    </row>
    <row r="2717" spans="1:11" x14ac:dyDescent="0.25">
      <c r="H2717" t="s">
        <v>1170</v>
      </c>
      <c r="I2717" s="4">
        <f>80000+(80000*19%)</f>
        <v>95200</v>
      </c>
    </row>
    <row r="2718" spans="1:11" x14ac:dyDescent="0.25">
      <c r="H2718" t="s">
        <v>101</v>
      </c>
      <c r="I2718" s="4">
        <v>62000</v>
      </c>
    </row>
    <row r="2719" spans="1:11" x14ac:dyDescent="0.25">
      <c r="H2719" t="s">
        <v>1171</v>
      </c>
      <c r="I2719" s="4">
        <v>35000</v>
      </c>
    </row>
    <row r="2721" spans="1:11" x14ac:dyDescent="0.25">
      <c r="H2721" t="s">
        <v>1172</v>
      </c>
      <c r="I2721" s="4">
        <f>SUM(I2716:I2720)</f>
        <v>1263200</v>
      </c>
    </row>
    <row r="2723" spans="1:11" x14ac:dyDescent="0.25">
      <c r="A2723" s="1" t="s">
        <v>0</v>
      </c>
      <c r="B2723" s="1" t="s">
        <v>1</v>
      </c>
      <c r="C2723" s="1" t="s">
        <v>2</v>
      </c>
      <c r="D2723" s="1" t="s">
        <v>3</v>
      </c>
      <c r="E2723" s="1" t="s">
        <v>4</v>
      </c>
      <c r="F2723" s="2" t="s">
        <v>5</v>
      </c>
      <c r="G2723" s="9" t="s">
        <v>40</v>
      </c>
      <c r="H2723" s="1" t="s">
        <v>6</v>
      </c>
      <c r="I2723" s="2" t="s">
        <v>7</v>
      </c>
      <c r="J2723" s="1" t="s">
        <v>8</v>
      </c>
      <c r="K2723" s="1" t="s">
        <v>9</v>
      </c>
    </row>
    <row r="2724" spans="1:11" x14ac:dyDescent="0.25">
      <c r="F2724"/>
      <c r="G2724"/>
      <c r="I2724"/>
    </row>
    <row r="2725" spans="1:11" x14ac:dyDescent="0.25">
      <c r="F2725"/>
      <c r="G2725"/>
      <c r="I2725"/>
    </row>
    <row r="2726" spans="1:11" x14ac:dyDescent="0.25">
      <c r="F2726"/>
      <c r="G2726"/>
      <c r="I2726"/>
    </row>
    <row r="2727" spans="1:11" x14ac:dyDescent="0.25">
      <c r="F2727"/>
      <c r="G2727"/>
      <c r="I2727"/>
    </row>
    <row r="2728" spans="1:11" x14ac:dyDescent="0.25">
      <c r="F2728"/>
      <c r="G2728"/>
      <c r="I2728"/>
    </row>
    <row r="2729" spans="1:11" x14ac:dyDescent="0.25">
      <c r="F2729"/>
      <c r="G2729"/>
      <c r="I2729"/>
    </row>
    <row r="2730" spans="1:11" x14ac:dyDescent="0.25">
      <c r="F2730"/>
      <c r="G2730"/>
      <c r="I2730"/>
    </row>
    <row r="2731" spans="1:11" x14ac:dyDescent="0.25">
      <c r="F2731"/>
      <c r="G2731"/>
      <c r="I2731"/>
    </row>
    <row r="2732" spans="1:11" x14ac:dyDescent="0.25">
      <c r="F2732"/>
      <c r="G2732"/>
      <c r="I2732"/>
    </row>
    <row r="2733" spans="1:11" x14ac:dyDescent="0.25">
      <c r="F2733"/>
      <c r="G2733"/>
      <c r="I2733"/>
    </row>
    <row r="2734" spans="1:11" x14ac:dyDescent="0.25">
      <c r="F2734"/>
      <c r="G2734"/>
      <c r="I2734"/>
    </row>
    <row r="2735" spans="1:11" x14ac:dyDescent="0.25">
      <c r="F2735"/>
      <c r="G2735"/>
      <c r="I2735"/>
    </row>
    <row r="2736" spans="1:11" x14ac:dyDescent="0.25">
      <c r="F2736"/>
      <c r="G2736"/>
      <c r="I273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TecnomotosHB</dc:creator>
  <cp:lastModifiedBy>TecnomotosHB</cp:lastModifiedBy>
  <dcterms:created xsi:type="dcterms:W3CDTF">2024-02-20T00:00:19Z</dcterms:created>
  <dcterms:modified xsi:type="dcterms:W3CDTF">2025-07-15T22:37:02Z</dcterms:modified>
</cp:coreProperties>
</file>